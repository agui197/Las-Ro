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40" windowWidth="20115" windowHeight="7830" firstSheet="10" activeTab="10"/>
  </bookViews>
  <sheets>
    <sheet name="ENERO 18" sheetId="1" r:id="rId1"/>
    <sheet name="FEBRERO 18 " sheetId="2" r:id="rId2"/>
    <sheet name="MARZO 18" sheetId="3" r:id="rId3"/>
    <sheet name="ABRIL 18" sheetId="4" r:id="rId4"/>
    <sheet name="MAYO 18" sheetId="5" r:id="rId5"/>
    <sheet name="JUNIO 18" sheetId="6" r:id="rId6"/>
    <sheet name="JULIO 18 " sheetId="7" r:id="rId7"/>
    <sheet name="AGOSTO 18 " sheetId="8" r:id="rId8"/>
    <sheet name="SEPTIEMBRE 18" sheetId="9" r:id="rId9"/>
    <sheet name="OCTUBRE 18" sheetId="10" r:id="rId10"/>
    <sheet name="NOVIEMBRE 18" sheetId="11" r:id="rId11"/>
    <sheet name="Hoja1" sheetId="12" r:id="rId12"/>
    <sheet name="Hoja2" sheetId="13" r:id="rId13"/>
  </sheets>
  <calcPr calcId="145621" concurrentCalc="0"/>
</workbook>
</file>

<file path=xl/calcChain.xml><?xml version="1.0" encoding="utf-8"?>
<calcChain xmlns="http://schemas.openxmlformats.org/spreadsheetml/2006/main">
  <c r="L16" i="11" l="1"/>
  <c r="Q22" i="11"/>
  <c r="Q19" i="11"/>
  <c r="Q15" i="11"/>
  <c r="Q12" i="11"/>
  <c r="Q9" i="11"/>
  <c r="Q23" i="11"/>
  <c r="Q20" i="11"/>
  <c r="Q10" i="11"/>
  <c r="Q3" i="11"/>
  <c r="C27" i="11"/>
  <c r="O25" i="11"/>
  <c r="F22" i="11"/>
  <c r="I12" i="11"/>
  <c r="C32" i="10"/>
  <c r="O30" i="10"/>
  <c r="F26" i="10"/>
  <c r="I16" i="10"/>
  <c r="L14" i="10"/>
</calcChain>
</file>

<file path=xl/sharedStrings.xml><?xml version="1.0" encoding="utf-8"?>
<sst xmlns="http://schemas.openxmlformats.org/spreadsheetml/2006/main" count="2339" uniqueCount="1294">
  <si>
    <t>CEDIS</t>
  </si>
  <si>
    <t>INGLATERRA</t>
  </si>
  <si>
    <t>TEPEYAC</t>
  </si>
  <si>
    <t>PALOMAR</t>
  </si>
  <si>
    <t>BANCO BAJIO S.A.</t>
  </si>
  <si>
    <t>COMISION COMERCIO AFILIADO TCD</t>
  </si>
  <si>
    <t>COMISIONES BANCARIAS</t>
  </si>
  <si>
    <t>COMISION FEDERAL DE ELECTRICIDAD</t>
  </si>
  <si>
    <t>GASOLINERA REMUS SA DE CV</t>
  </si>
  <si>
    <t>TELEFONOS DE MEXICO S.AB DE C.V.</t>
  </si>
  <si>
    <t>FINDTECH SA CV</t>
  </si>
  <si>
    <t>SODEXO MOTIVATION SOLUTIONS MEXICO SA CV</t>
  </si>
  <si>
    <t>COMISION SODEXO</t>
  </si>
  <si>
    <t>CONSULTORIA EN FRANQUICIAS DE OCCIDENTE SC</t>
  </si>
  <si>
    <t>ESPACO COMCENTERS SA CV</t>
  </si>
  <si>
    <t>SALVADOR SOLIS MARTINEZ</t>
  </si>
  <si>
    <t>QUALITY &amp; CS SA DE CV</t>
  </si>
  <si>
    <t>INSTITUTO MEXICANO DEL SEGURO SOCIAL</t>
  </si>
  <si>
    <t>IMPUESTOS FEDERALES</t>
  </si>
  <si>
    <t>CARLOS FRANCISCO GUZMAN CONTRO</t>
  </si>
  <si>
    <t>FABIOLA MENDEZ GONZALEZ</t>
  </si>
  <si>
    <t>MANTENIMIENTO EQ TRANSP GASOLINA TRO FACT..</t>
  </si>
  <si>
    <t>XAVIER MONTIEL ANDRADE</t>
  </si>
  <si>
    <t>GABRIEL MESTAS PALAFOX</t>
  </si>
  <si>
    <t>01/01/2018</t>
  </si>
  <si>
    <t>02/01/2018</t>
  </si>
  <si>
    <t>03/01/2018</t>
  </si>
  <si>
    <t>LUZ PALOMAR</t>
  </si>
  <si>
    <t>MANTENIMIENTO EQ TRANSP GASOLINA TRO</t>
  </si>
  <si>
    <t>TELEFONOS</t>
  </si>
  <si>
    <t>05/01/2018</t>
  </si>
  <si>
    <t>04/01/2018</t>
  </si>
  <si>
    <t>DESARROLLO DE FRANQUICIAS</t>
  </si>
  <si>
    <t>10/01/2018</t>
  </si>
  <si>
    <t>12/01/2018</t>
  </si>
  <si>
    <t>09/01/2018</t>
  </si>
  <si>
    <t>RENTA LOCAL TRO FACT 144 MES DE ENERO 2018</t>
  </si>
  <si>
    <t>SISTEMA OSMOSIS INVERSA (AGUA) FACT 2177E</t>
  </si>
  <si>
    <t>MANTENIMIENTO EQ TRANSP GASOLINA TRO.. FACT....</t>
  </si>
  <si>
    <t>IMPUESTOS SEGURO SOCIAL PERIODO DICIEMBRE 2017</t>
  </si>
  <si>
    <t>CONVENIO LUZ TEPEYAC SEGUNDO PAGO DE OCHO</t>
  </si>
  <si>
    <t>LUZ INGLATERRA</t>
  </si>
  <si>
    <t>IMPUESTOS 2% S/NOMINA PERIODO DICIEMBRE 2017</t>
  </si>
  <si>
    <t>MANTENIMIENTO EQ TRANSP TRO FAC C32EC9 REPARACION FRENOS ATOS CEDIS</t>
  </si>
  <si>
    <t>13/01/2018</t>
  </si>
  <si>
    <t>17/01/2018</t>
  </si>
  <si>
    <t>19/01/2018</t>
  </si>
  <si>
    <t>16/01/2018</t>
  </si>
  <si>
    <t>18/01/2018</t>
  </si>
  <si>
    <t>SERVICIOS DE CONSTRUCCION Y URBANIZACION MANORT SA DE CV</t>
  </si>
  <si>
    <t>PROGRAMAS SISTEMAS TEPEYAC Y CEDIS FACT CS350 FACT CS349</t>
  </si>
  <si>
    <t>SERVICIO Y MANTENIMIENTO RESTAURANT TRO FACT A12 ANUNCIO LUMINOSO</t>
  </si>
  <si>
    <t xml:space="preserve">IMPUESTOS FEDERALES MENSUALIDAD </t>
  </si>
  <si>
    <t>25/01/2018</t>
  </si>
  <si>
    <t>ACRYLIC MADE SA DE CV</t>
  </si>
  <si>
    <t>24/01/2018</t>
  </si>
  <si>
    <t>26/01/2018</t>
  </si>
  <si>
    <t>31/01/2018</t>
  </si>
  <si>
    <t>30/01/2018</t>
  </si>
  <si>
    <t>CERVECERIA MODELO DE MEXICO S DE RL DE CV</t>
  </si>
  <si>
    <t>CLICHE DIGITAL SA CV</t>
  </si>
  <si>
    <t>DELIVERY BOYS LOGISTICS S DE RL DE CV</t>
  </si>
  <si>
    <t>23/01/2018</t>
  </si>
  <si>
    <t>ACCESORIOS Y MAS RESTAURANT FACT... PORTA MENU</t>
  </si>
  <si>
    <t>FUMIGACIONES FACT 361 MES DE ENERO 2018</t>
  </si>
  <si>
    <t>CERVEZAS MULTA POR MANDAR CHEQUE SIN FIRMA (CH 0680) FACT..</t>
  </si>
  <si>
    <t>MENUS FACT...</t>
  </si>
  <si>
    <t>SERVICIO DE REPARTO FACT A2348A FACT 01B4150 (SEMANA DE 22 DE ENERO AL 4 DE FEBRERO 2018)</t>
  </si>
  <si>
    <t>SERVICIO DE REPARTO FACT D192D1 (SEMANA 5 AL 11 DE ENERO 2018)</t>
  </si>
  <si>
    <t xml:space="preserve">CAFE CONSUMOS TRO FACT A813 A 802 </t>
  </si>
  <si>
    <t>SISTEMA OSMOSIS INVERSA (AGUA) REPARACIÓN DE BOMBA FACT 2268E TRO</t>
  </si>
  <si>
    <t>MANEJO DE REDES SOCIALES FACT A44 MES DE ENERO 2018</t>
  </si>
  <si>
    <t>MANTENIMIENTO EQ TRANSP GASOLINA TRO FACT.</t>
  </si>
  <si>
    <t>TELEFONOS SUC PALOMAR</t>
  </si>
  <si>
    <t>23/0/2018</t>
  </si>
  <si>
    <t>GABRIEL PONCE PEREZ</t>
  </si>
  <si>
    <t>01/03/2018</t>
  </si>
  <si>
    <t>PROPINAS PERSONAL TRO TC SEMANA #4</t>
  </si>
  <si>
    <t>TELEFONOS SUC PALOMAR MES FACTURADO FEBRERO (GASTOS FEBRERO)</t>
  </si>
  <si>
    <t>SERVICIOS COMERCIALES DE LIMPIEZA S DE RL DE CV</t>
  </si>
  <si>
    <t>DESECHABLES BOLSA Y MAS TRO FOLIO 12711</t>
  </si>
  <si>
    <t>LUZ PALOMAR (MES FACTURADO 22 DE DIC AL 23 DE ENERO 18)</t>
  </si>
  <si>
    <t>TELEFONOS SUC TEPEYAC (FACTURACION ENERO)</t>
  </si>
  <si>
    <t>ALEJANDRO CARPIO GRIMALDO</t>
  </si>
  <si>
    <t>JOSE MARCOS ESPINOZA TIZNADO</t>
  </si>
  <si>
    <t>ASEO Y LIMPIEZA TRO FACT 8DDFC6</t>
  </si>
  <si>
    <t>SERVICIO DE REPARTO FACT FAC27 TRO</t>
  </si>
  <si>
    <t>CAFE CONSUMOS TRO FACT A825</t>
  </si>
  <si>
    <t>SISTEMA OSMOSIS INVERSA (AGUA) FACT 2301E FEBRERO 2018</t>
  </si>
  <si>
    <t>MANTENIMIENTO EQ TRANSP GASOLINA TRO FACT...</t>
  </si>
  <si>
    <t>PAPELERIA  FACT 702 TRO</t>
  </si>
  <si>
    <t>AMATEDITORIAL SA DE CV</t>
  </si>
  <si>
    <t>FLYERS Y FOLLETOS SUCURSALES TORTAS RO</t>
  </si>
  <si>
    <t>IMPUESTOS 2% S/NOMINA TRO ENERO 2018</t>
  </si>
  <si>
    <t>TELEFONOS SUC INGLATERRA PERIODO FACTURADO ENERO</t>
  </si>
  <si>
    <t>13/02/2018</t>
  </si>
  <si>
    <t>MANTENIMIENTO EQ TRANSP GASOLINA TRO FACT</t>
  </si>
  <si>
    <t>14/02/2018</t>
  </si>
  <si>
    <t>JUDITH BEHAR QUIÑONES</t>
  </si>
  <si>
    <t>SOLUCIONES PROFESIONALES PARA LA INDUSTRIA ALIMENTARIA SA CV</t>
  </si>
  <si>
    <t>SERVICIO DE REPARTO FACT FAC62 SEMANA DEL 19 AL 25 DE FEBRERO 2018</t>
  </si>
  <si>
    <t>RENTA LOCAL TRO FACT 225 FACT 226 FEBRERO 2018</t>
  </si>
  <si>
    <t>IMPUESTOS SEGURO SOCIAL  MES DE ENERO 2018</t>
  </si>
  <si>
    <t>PAPELERIA  FACT 36972D</t>
  </si>
  <si>
    <t>PAGO A CUENTA PAGO TELEVISIONES INGLATERRA</t>
  </si>
  <si>
    <t>PROGRAMAS SISTEMAS FACT CS361 MENSUALIDAD FEBRERO 2018</t>
  </si>
  <si>
    <t>CONVENIO LUZ CUARTO PAGO TEPEYAC</t>
  </si>
  <si>
    <t>SERVICIO Y MANTENIMIENTO RESTAURANT TRO FACT B20339 PALOMAR</t>
  </si>
  <si>
    <t>MANTENIMIENTO EQUIPO DE TRANSPORTE  FACT ECB768 TRO</t>
  </si>
  <si>
    <t>15/02/2018</t>
  </si>
  <si>
    <t>LUZ TEPEYAC COMPLEMENTO BIMESTRAL</t>
  </si>
  <si>
    <t>16/02/2018</t>
  </si>
  <si>
    <t>21/02/2018</t>
  </si>
  <si>
    <t>22/02/2018</t>
  </si>
  <si>
    <t>27/02/2018</t>
  </si>
  <si>
    <t>28/02/2018</t>
  </si>
  <si>
    <t xml:space="preserve">CHUBB SEGUROS MEXICO, S.A. </t>
  </si>
  <si>
    <t>26/02/2018</t>
  </si>
  <si>
    <t>HECTOR FERNANDO RAMIREZ JAIME</t>
  </si>
  <si>
    <t>JUAN ANTONIO SANCHEZ PEREIDA</t>
  </si>
  <si>
    <t>19/02/2018</t>
  </si>
  <si>
    <t>RAFAEL HERNANDEZ VERTIZ</t>
  </si>
  <si>
    <t>SOCIEDAD DE AUTORES Y COMPOSITORES DE MEXICO SDE GC DE LP</t>
  </si>
  <si>
    <t>FUMIGACIONES FACT 367 MES DE FEBRERO 2018</t>
  </si>
  <si>
    <t>POLIZA DE SEGURO LK38001097  SUC PALOMAR</t>
  </si>
  <si>
    <t>SERVICIO DE REPARTO FACT FAC124 (SEMANA 5 AL 11 DE MARZO)</t>
  </si>
  <si>
    <t>SERVICIO DE REPARTO FACT FAC88</t>
  </si>
  <si>
    <t>MANEJO DE REDES SOCIALES FACT A46 MES DE FEBRERO</t>
  </si>
  <si>
    <t>MANTENIMIENTO EQ TRANSP GASOLINA TRO FACT AE8794</t>
  </si>
  <si>
    <t>UTENCILIOS TRO TABLA POLITILENO SUC INGLATERRA FACT...</t>
  </si>
  <si>
    <t>IMPUESTOS FEDERALES MES ENERO 2018</t>
  </si>
  <si>
    <t>MANTENIMIENTO EQUIPO DE TRANSPORTE  TRO FACT B20</t>
  </si>
  <si>
    <t>PAPELERIA  FACT 490 COMPRA DE SOBRES PARA SUCURSALES</t>
  </si>
  <si>
    <t>MUSICA Y SONIDO FACT 51110 FACT 5109 FACT 5108 MES DE DICIEMBRE, ENERO Y FEBRERO 2018</t>
  </si>
  <si>
    <t>MANTENIMIENTO EQUIPO DE TRANSPORTE FACT E794AA FACT C48FD CARROS CEDIS</t>
  </si>
  <si>
    <t xml:space="preserve">TELEFONOS SUC PALOMAR MES FACTURADO FEBRERO </t>
  </si>
  <si>
    <t>02/03/2018</t>
  </si>
  <si>
    <t>DESARROLLO DE FRANQUICIAS MENSUALIDAD MARZO 2018 2/15</t>
  </si>
  <si>
    <t>05/03/2018</t>
  </si>
  <si>
    <t>06/03/2018</t>
  </si>
  <si>
    <t>MANTENIMIENTO EQ TRANSP GASOLINA TRO FACT AE8895</t>
  </si>
  <si>
    <t>TELEFONOS SUC TEPEYAC MES FACTURADO FEBRERO</t>
  </si>
  <si>
    <t>07/03/2018</t>
  </si>
  <si>
    <t>08/03/2018</t>
  </si>
  <si>
    <t>LEONEL ABRAHAM GARCIA GARCIA</t>
  </si>
  <si>
    <t>MASERVICE DE MEXICO SA CV</t>
  </si>
  <si>
    <t>SERVICIO DE REPARTO FACT 151 TORTAS RO</t>
  </si>
  <si>
    <t>CAFE CONSUMOS TRO FACT A846 TORTAS RO</t>
  </si>
  <si>
    <t>SISTEMA OSMOSIS INVERSA (AGUA) FACT 2415E MENSUALIDAD MARZO</t>
  </si>
  <si>
    <t>MANTENIMIENTO SUCURSAL FACT 51 TORTAS RO</t>
  </si>
  <si>
    <t>REPARACION Y MANTENIMENTO EQS TRO TELEVISION TEPEYAC TRO FACT 47</t>
  </si>
  <si>
    <t>12/03/2018</t>
  </si>
  <si>
    <t>09/03/2018</t>
  </si>
  <si>
    <t xml:space="preserve">SECRETARIA DE FINANZAS </t>
  </si>
  <si>
    <t>CFE SUC PALOMAR (PERIODO 23 DE ENERO AL 22 DE fEBRERO 2018)</t>
  </si>
  <si>
    <t>PAGO TARJETA JUDITH SEGUNDA MENSUALIDAD DE TELEVISION INGLATERRA</t>
  </si>
  <si>
    <t>IMPUESTOS 2% S/NOMINA MENSUALIDAD FEBRERO 2018</t>
  </si>
  <si>
    <t>TELEFONOS SUC INGLATERRA (PERIODO FACTURADO FEBRERO)</t>
  </si>
  <si>
    <t>14/03/2018</t>
  </si>
  <si>
    <t>DANIEL GONZALEZ ZERMEÑO</t>
  </si>
  <si>
    <t>DEYVID JOSHUA VENEGAS VILLARREAL</t>
  </si>
  <si>
    <t>13/03/2018</t>
  </si>
  <si>
    <t>JUAN CARLOS VENTURA MICHEL</t>
  </si>
  <si>
    <t>SODEXO MOTIVATION SOLUTION MEXICO SA</t>
  </si>
  <si>
    <t>MANTENIMIENTO DE ESTRUCTURAS TRO REPARACION DE MESAS INGLATERRA FACT 73</t>
  </si>
  <si>
    <t>SERVICIO DE REPARTO FACT 189 (SEMANA 19 AL 25 MARZO 18)</t>
  </si>
  <si>
    <t>MANTENIMIENTO Y EQUIPO DE COMPUTO FACT 587 COMPRA DE CPU INGLATERRA</t>
  </si>
  <si>
    <t xml:space="preserve">RENTA LOCAL TRO FACT 329 FACT 330 MENSUALIDAD DE MARZO 2018 </t>
  </si>
  <si>
    <t>IMPUESTOS SEGURO SOCIAL  MENSUALIDAD FEBRERO 2018</t>
  </si>
  <si>
    <t xml:space="preserve">UNIFORMES TRO FACT 118 </t>
  </si>
  <si>
    <t>CONVENIO LUZ QUINTO PAGO ONVENIO DE LUZ TEPEYAC</t>
  </si>
  <si>
    <t>MUSICA Y SONIDO FACT 7088 TRO MENSUALIDAD MARZO 2018</t>
  </si>
  <si>
    <t>21/03/2018</t>
  </si>
  <si>
    <t>20/03/2018</t>
  </si>
  <si>
    <t>SERVICIO DE REPARTO FACT FAC229 TRO</t>
  </si>
  <si>
    <t>IMPUESTOS FEDERALES PERIODO FEBRERO 2018</t>
  </si>
  <si>
    <t>28/03/2018</t>
  </si>
  <si>
    <t>BHUBER INDUSTRIAL DESIGN SC</t>
  </si>
  <si>
    <t>26/03/2018</t>
  </si>
  <si>
    <t>22/03/2018</t>
  </si>
  <si>
    <t>SERVICIO CORPORATIVO TEMDENZA</t>
  </si>
  <si>
    <t>SOCIEDAD MEXICANA DE PRODUCTORES DE FONOGRAMAS</t>
  </si>
  <si>
    <t>ARQUITECTO PROYECTO FACT 238 (DISEÑO INTERIORES)</t>
  </si>
  <si>
    <t>SERVICIO DE REPARTO FACT 45010 TRO</t>
  </si>
  <si>
    <t>CAFE CONSUMOS TRO FACT A856 FACT A861 TRO</t>
  </si>
  <si>
    <t>MANEJO DE REDES SOCIALES FACT A53</t>
  </si>
  <si>
    <t>MANTENIMIENTO EQ TRANSP GASOLINA TRO FACT....</t>
  </si>
  <si>
    <t>PAPELERIA  ROLLOS TERMICOS PARA SUCURSALES TRO FACT 806</t>
  </si>
  <si>
    <t>MANTENIMIENTO ESTRUCTURAS SUCURSAL TRO FACT 52</t>
  </si>
  <si>
    <t>PROYECTO TORTAS RO FACT</t>
  </si>
  <si>
    <t>LICENCIAS DE FONOGRAMAS SUC INGLATERRA 2017</t>
  </si>
  <si>
    <t>TELEFONOS SUC PALOMAR PERIODO FACTURADO FEBRERO 18</t>
  </si>
  <si>
    <t>FUMIGACIONES FACT 373 MENSUALIDAD MARZO 2018</t>
  </si>
  <si>
    <t>30/04/2018</t>
  </si>
  <si>
    <t>SERVICIO DE REPARTO FACT FAC284 SEMANA 9 AL 15 DE ABRIL 2018</t>
  </si>
  <si>
    <t>SISTEMA OSMOSIS INVERSA (AGUA) MESUALIDAD ABRIL 2018</t>
  </si>
  <si>
    <t>DESARROLLO DE FRANQUICIAS MENSUALIDAD DE ABRIL 2018</t>
  </si>
  <si>
    <t xml:space="preserve">MANTENIMIENTO EQ TRANSP GASOLINA TRO FACT </t>
  </si>
  <si>
    <t xml:space="preserve">TELEFONOS SUC TEPEYAC </t>
  </si>
  <si>
    <t>LUZ PALOMAR MENSUALIDAD 22 DE FEBRERO AL 23 DE MARZO 18</t>
  </si>
  <si>
    <t>SERVICIO DE REPARTO SEMANA DEL 16 AL 22 DE ABRIL 2018</t>
  </si>
  <si>
    <t>PROGRAMAS SISTEMAS PRIMER PAGO DE TRES FACT 599</t>
  </si>
  <si>
    <t>RENTA LOCAL TRO</t>
  </si>
  <si>
    <t>IMPUESTOS SEGURO SOCIAL  MENSUALIDAD MARZO 18</t>
  </si>
  <si>
    <t>TERCERA MENSUALIDAD TELEVISIONES INGLATERRA</t>
  </si>
  <si>
    <t>IMPUESTOS 2% S/NOMINA MENSUALIDAD DE MARZO 18</t>
  </si>
  <si>
    <t>CONVENIO LUZ TEPEYAC SEXTO PAGO</t>
  </si>
  <si>
    <t>LUZ TEPEYAC</t>
  </si>
  <si>
    <t>TELEFONOS SUC INGLATERRA PERIODO FACTURADO MARZO 2018</t>
  </si>
  <si>
    <t>18/04/2018</t>
  </si>
  <si>
    <t>16/04/2018</t>
  </si>
  <si>
    <t>SERVICIO DE REPARTO FACT 351 TRO</t>
  </si>
  <si>
    <t>MANTENIMIENTO EQ TRANSP GASOLINA TRO COMBUSTIBLE 16 ABRIL 18</t>
  </si>
  <si>
    <t>IMPUESTOS FEDERALES MARZO 18</t>
  </si>
  <si>
    <t>MUSICA Y SONIDO SUC PALOMART PAGO ANUAL 2018 FACT F23262</t>
  </si>
  <si>
    <t>23/04/2018</t>
  </si>
  <si>
    <t>ANTICIPO DE PARTICIPACION DE INCUBADORA TRO FACT....</t>
  </si>
  <si>
    <t>25/04/2018</t>
  </si>
  <si>
    <t>27/04/2018</t>
  </si>
  <si>
    <t>ENRIQUE LATINO PASCUAL ENDERLE</t>
  </si>
  <si>
    <t>26/04/2018</t>
  </si>
  <si>
    <t>FUMIGACIONES FACT 378 MENSUALIDAD ABRIL 18</t>
  </si>
  <si>
    <t>LUZ SUCURSAL INGLATERRA MES FACTURADO (8 DE FEBRERO AL 10 ABRIL 18)</t>
  </si>
  <si>
    <t>SERVICIO DE REPARTO FACT 387 (30 ABRIL AL 6 MAYO 17)</t>
  </si>
  <si>
    <t xml:space="preserve">UNIFORMES TRO ANTICIPO </t>
  </si>
  <si>
    <t>CAFE CONSUMOS TRO FACT A876</t>
  </si>
  <si>
    <t>MANEJO DE REDES SOCIALES FACT 2E61C MENSUALIDAD ABRIL 18</t>
  </si>
  <si>
    <t>TENENCIAS VEHICULOS MOTO</t>
  </si>
  <si>
    <t>TELEFONOS SUC PALOMAR MES FACTURADO ABRIL 18</t>
  </si>
  <si>
    <t>02/05/2018</t>
  </si>
  <si>
    <t>SERVICIO DE REPARTO FACT 0412 PERIODO DEL 7 AL 13 MAYO 18</t>
  </si>
  <si>
    <t>PAPELERIA FACT 887 ROLLO</t>
  </si>
  <si>
    <t>TENENCIAS VEHICULOS COMPLEMENTO DE MOTOS</t>
  </si>
  <si>
    <t>MANTENIMIENTO REPARACIÓN PUERTA REFRIGUERADOR PALOMAR FACT B21444</t>
  </si>
  <si>
    <t>TELEFONOS SUC TEPEYAC MES DE FACTURACION ABRIL 18</t>
  </si>
  <si>
    <t>03/05/2018</t>
  </si>
  <si>
    <t>07/05/2018</t>
  </si>
  <si>
    <t>CORPORATIVO DAYDR SA CV</t>
  </si>
  <si>
    <t>2 PAGO DE PRESENTACION EN LA EXPO FACT 1483</t>
  </si>
  <si>
    <t>DESARROLLO DE FRANQUICIAS FACT 1475 MENSUALIDAD MAYO 2018</t>
  </si>
  <si>
    <t>MANTENIMIENTO Y EQUIPO DE COMPUTO OFICINA KARLA FACT 6717</t>
  </si>
  <si>
    <t>MANTENIMIENTO EQ TRANSP GASOLINA TRO SEMANA DEL 7 AL 13 MAYO 2018</t>
  </si>
  <si>
    <t>08/05/2018</t>
  </si>
  <si>
    <t>10/05/2018</t>
  </si>
  <si>
    <t>09/05/2018</t>
  </si>
  <si>
    <t>FRANCISCO JAVIER SOLIS VALENCIA</t>
  </si>
  <si>
    <t>VIRGINA MARQUEZ ORTEGA</t>
  </si>
  <si>
    <t>LUZ PALOMAR PERIODO FACTURADO 23 MARZO AL 23 ABRIL 2018</t>
  </si>
  <si>
    <t>SISTEMA OSMOSIS INVERSA (AGUA) FACT E3A34 MENSUALIDAD DE MAYO 2018</t>
  </si>
  <si>
    <t>MANTENIMIENTO FACT A006 REFRIGUERADOR PALOMAR</t>
  </si>
  <si>
    <t>PAGO TARJETA JUDITH CUARTO PAGO TELEVISION INGLATERRA</t>
  </si>
  <si>
    <t>MANTENIMIENTO Y EQUIPO DE COMPUTO FACT 51 SERVICIOS DE EQUIPO AUDIO INGLATERRA</t>
  </si>
  <si>
    <t>IMPUESTOS 2% S/NOMINA MES ABRI 2018</t>
  </si>
  <si>
    <t>DESECHABLES BOLSA Y MAS FOLIO 13770 TRO</t>
  </si>
  <si>
    <t>TELEFONOS MENS FACTURADO ABRIL 2018 INGLATERRA</t>
  </si>
  <si>
    <t>VASOS PARA CAFE TRO COT</t>
  </si>
  <si>
    <t>11/05/2018</t>
  </si>
  <si>
    <t>17/05/2018</t>
  </si>
  <si>
    <t>15/05/2018</t>
  </si>
  <si>
    <t>DESARROLLO DE FRANQUICIAS FACT 1495 TERCER PAGO EXPOSICION</t>
  </si>
  <si>
    <t>SERVICIO DE REPARTO FACT 481 FACT 446 (FECHA14 AL 20 MAYO)(FECHA DEL 21 AL 27 DE MAYO)</t>
  </si>
  <si>
    <t>UNIFORMES TRO FACT A17585 FACT A17586</t>
  </si>
  <si>
    <t>RENTA LOCAL TRO MENSUALIDAD</t>
  </si>
  <si>
    <t>CAFE CONSUMOS TRO FACT A894</t>
  </si>
  <si>
    <t>MANTENIMIENTO EQ TRANSP GASOLINA TRO FACT AE9587</t>
  </si>
  <si>
    <t>UTENCILIOS TRO TABLAS POLITELENO FACT.. SUC TEPEYAC Y PALOMAR</t>
  </si>
  <si>
    <t>IMPUESTOS SEGURO SOCIAL  MES ABRIL 18</t>
  </si>
  <si>
    <t>PAPELERIA  FACT 933 ROOLO TERMICO Y CAJA DE CINTAS PARA CAJAS</t>
  </si>
  <si>
    <t>CONVENIO DE LUZ 7 MO PAGO TEPEYAC</t>
  </si>
  <si>
    <t xml:space="preserve">MUSICA Y SONIDO FACT 12175 FACT12177 MENSUALIDAD ABRIL Y MAYO </t>
  </si>
  <si>
    <t>MUSICA Y SONIDO LICENCIA MUSICA SUC INGLATERRA FACT F23711 TRO</t>
  </si>
  <si>
    <t>24/05/2018</t>
  </si>
  <si>
    <t>ALEJANDRO TORRES GARCIA</t>
  </si>
  <si>
    <t>22/05/2018</t>
  </si>
  <si>
    <t xml:space="preserve">TESORERIA DE LA FEDERACION </t>
  </si>
  <si>
    <t>FACT BE00A PRODUCCION AUDIOVISUAL EXPO TORTAS RO</t>
  </si>
  <si>
    <t>FUMIGACIONES FACT 382 MENSUALIDAD MAYO 2018</t>
  </si>
  <si>
    <t>SERVICIO DE REPARTO FACT 0515 ( 28 DE JUNIO AL 3 DE MAYO 2018)</t>
  </si>
  <si>
    <t>MANEJO DE REDES SOCIALES FACT A69 MENSUALIDAD MAYO 2018 TRO</t>
  </si>
  <si>
    <t>MANTENIMIENTO EQ TRANSP GASOLINA TRO FACT AE 9647</t>
  </si>
  <si>
    <t>IMPUESTOS FEDERALES ABRIL 18 MENSUALIDAD</t>
  </si>
  <si>
    <t>30/05/2018</t>
  </si>
  <si>
    <t>29/05/2018</t>
  </si>
  <si>
    <t>ROMAN RODRIGUEZ PABLO JESUS</t>
  </si>
  <si>
    <t>25/05/2018</t>
  </si>
  <si>
    <t>SERVICIO DE REPARTO FACT 539 TRO (SEMANA DEL 4 AL 10 DE JUNIO)</t>
  </si>
  <si>
    <t>DISEÑO DE IMPRESOS PARA EXPO FRANQUICIAS FACT F34 TRO</t>
  </si>
  <si>
    <t>TELEFONOS SUC PALOMAR FACTURADO MAYO 2018</t>
  </si>
  <si>
    <t>06/06/2018</t>
  </si>
  <si>
    <t>TRASPASO ENTRE CUENTAS AGUINALDO 2018 TRO</t>
  </si>
  <si>
    <t>04/06/2018</t>
  </si>
  <si>
    <t>ANGELICA PEREZ LOPEZ</t>
  </si>
  <si>
    <t>LIMPIEZA DE TRAMPA DE GRASA FACT A5509</t>
  </si>
  <si>
    <t>DESARROLLO DE FRANQUICIAS FACT 1516 MENSUALIDAD JUNIO 2018</t>
  </si>
  <si>
    <t>SERVICIO DE REPARTO FACT 584 (SEMANA 11 AL 17 DE juNIO 2018)</t>
  </si>
  <si>
    <t xml:space="preserve">CAFE CONSUMOS TRO FACT A911 </t>
  </si>
  <si>
    <t>PAPELERIA  FACT 965 ROLLO ANTICOPIANTE</t>
  </si>
  <si>
    <t>PUBLICIDAD FAT F35 MATERIALES Y DISEÑOS PARA MUNDIAL Y EXPOSICION</t>
  </si>
  <si>
    <t>TELEFONOS SUC TEPEYAC PERIODO FACTURADO MAYO</t>
  </si>
  <si>
    <t>08/06/2018</t>
  </si>
  <si>
    <t>11/06/2018</t>
  </si>
  <si>
    <t>LUZ PALOMAR (23 ABRIL AL 23 MAYO 18)</t>
  </si>
  <si>
    <t>PAGO TARJETA JUDITH 5 MENSUALIDAD TELEVISION INGLATERRA</t>
  </si>
  <si>
    <t>IMPUESTOS 2% S/NOMINA MENSUALIDAD MAYO 2018</t>
  </si>
  <si>
    <t>DISEÑOS FACTURA B329 INTERIORISMO</t>
  </si>
  <si>
    <t>DESECHABLES BOLSA Y MAS FOLIO 14110</t>
  </si>
  <si>
    <t>PLANEACION ADMINISTRATIVA Y FINANZAS</t>
  </si>
  <si>
    <t>12/06/2018</t>
  </si>
  <si>
    <t>13/06/2018</t>
  </si>
  <si>
    <t>PIXEL MARKERS GROUP S DE RL DE CV</t>
  </si>
  <si>
    <t>SERVICIO DE REPARTO FACT 627 (SEMANA 18 AL 24 DE JUNIO 18)</t>
  </si>
  <si>
    <t>SISTEMA OSMOSIS INVERSA (AGUA) FACT 276E MENSUALIDAD JUNIO 18</t>
  </si>
  <si>
    <t>IMPUESTOS SEGURO SOCIAL MAYO 18</t>
  </si>
  <si>
    <t>PUBLICIDAD FACT 145 TRO (PLAYERAS Y BOLIGRAFOS MUNDIAL)</t>
  </si>
  <si>
    <t>PUBLICIDAD ANTICIPO PAGO TARJETA, MENU, DITICOS EXPO TRO</t>
  </si>
  <si>
    <t>MUSICA Y SONIDO FACT 14198 MENSUALIDAD JUNIO SUC PALOMAR</t>
  </si>
  <si>
    <t>TELEFONOS SUC INGLATERRA PERIODO FACTURADO MAYO 2018</t>
  </si>
  <si>
    <t>14/06/2018</t>
  </si>
  <si>
    <t>LUZ TEPEYAC ULTIMO PAGO CONVENIO Y PAGO LUZ TEPEYAC</t>
  </si>
  <si>
    <t>15/06/2018</t>
  </si>
  <si>
    <t xml:space="preserve">RENTA LOCAL TRO MENSUALIDAD </t>
  </si>
  <si>
    <t>18/06/2018</t>
  </si>
  <si>
    <t>PUBLICIDAD COMPLEMENTO MENU, TARJETAS DE PRESENTACION TRO</t>
  </si>
  <si>
    <t>20/06/2018</t>
  </si>
  <si>
    <t>PRODUCCION DE AUDIOVISUAL EXPO DE FRANQUICIAS FACT DD246</t>
  </si>
  <si>
    <t>MANTENIMIENTO DESEGRASANTE SUC INGLATERRA FACT A5543 TRO</t>
  </si>
  <si>
    <t>SERVICIO DE REPARTO FACT 657 SEMANA 25 DE JUNIO AL 1 DE JULIO 18</t>
  </si>
  <si>
    <t>REPARACION DE PANTALLA SUC TEPEYAC FACT 55 TORTAS RO</t>
  </si>
  <si>
    <t>22/06/2018</t>
  </si>
  <si>
    <t>IMPUESTOS FEDERALES MENSUALIDAD MAYO 2018</t>
  </si>
  <si>
    <t>25/06/2018</t>
  </si>
  <si>
    <t>LUZ TRO INGLATERRA ( PERIODO FACTURADO 10 ABRIL AL 11 DE JUNIO 2018)</t>
  </si>
  <si>
    <t>26/06/2018</t>
  </si>
  <si>
    <t>TELEFONOS SUC PALOMAR MES FACTURADO MAYO 2018</t>
  </si>
  <si>
    <t>27/06/2018</t>
  </si>
  <si>
    <t>FUMIGACIONES MENSUALIDAD JUNIO 2018 FACT 390 TRO</t>
  </si>
  <si>
    <t>SERVICIO DE REPARTO FACT 682 SEMANA 2 AL 8 DE JULIO 2018</t>
  </si>
  <si>
    <t>MANEJO DE REDES SOCIALES FACT A78 MENSUALIDAD JUNIO 2018</t>
  </si>
  <si>
    <t>PAGO PROVEEDOR RAYA NOTA  R140325 (27/07/18)</t>
  </si>
  <si>
    <t>PAGO PROVEEDOR RAYA NOTA  R140331 (27/07/18)</t>
  </si>
  <si>
    <t>PAGO PROVEEDOR RAYA NOTA  R140468 (30/07/18)</t>
  </si>
  <si>
    <t>31/07/2018</t>
  </si>
  <si>
    <t>TRASPASO ENTRE CUENTAS INVERSION DE AGUINALDO MENSUALIDAD JUNIO 2018</t>
  </si>
  <si>
    <t>GRUPO ALPHA SIMET SA DE CV</t>
  </si>
  <si>
    <t>MANTENIMIENTO EQ TRANSP GASOLINA TRO FACT AE10080</t>
  </si>
  <si>
    <t>COMPRA DE HORNO PARA BOLILLOS TORTAS RO FACT</t>
  </si>
  <si>
    <t>LUZ PALOMAR (PERIODO FACTURADO 23 MAYO AL 22 DE JUNIO 18)</t>
  </si>
  <si>
    <t>SERVICIO DE REPARTO FACT 717 (SEMANA FACTURADA 9 AL 15 JULIO 18) TRO</t>
  </si>
  <si>
    <t xml:space="preserve">CONSUMOS RESTAURANT TRO FACT A943 </t>
  </si>
  <si>
    <t>SISTEMA OSMOSIS INVERSA (AGUA) FACT 2891E MENSUALIDAD JULIO 2018</t>
  </si>
  <si>
    <t>PAPELERIA (SOBRES DE CORTES DE CAJAS) FACT 524 TRO</t>
  </si>
  <si>
    <t>TELEFONOS SUC TEPEYAC PERIODO FACVTURADO JUNIO 18</t>
  </si>
  <si>
    <t>DESARROLLO DE FRANQUICIAS MENSUALIDAD JULIO 2018 TRO FACT 1544</t>
  </si>
  <si>
    <t xml:space="preserve">PAGO TARJETA  SEPTIMO PAGO TELEVISIONES </t>
  </si>
  <si>
    <t>MANTENIMIENTO TRAMPA DE GRASAS SUC INGLATERRA JUNIO 18 FACT A5542</t>
  </si>
  <si>
    <t>SERVICIO DE REPARTO FACT 756 SEMANA 16 AL 22 DE JULIO 2018</t>
  </si>
  <si>
    <t>IMPUESTOS SEGURO SOCIAL  PERIODO JUNIO 2018</t>
  </si>
  <si>
    <t>IMPUESTOS 2% S/NOMINA MENSUALIDAD JUNIO 18</t>
  </si>
  <si>
    <t>MUSICA Y SONIDO MENSUALIDAD JULIO 2018 FACT 16441 TRO</t>
  </si>
  <si>
    <t>TELEFONOS SUC INGLATERRA PERIODO FACTURADO JUNIO 2018</t>
  </si>
  <si>
    <t xml:space="preserve">MANTENIMIENTO EQ TRANSP TRO FACT 96CEE (AFINACION, TORULA CARRO CEDIS) </t>
  </si>
  <si>
    <t>18/07/2018</t>
  </si>
  <si>
    <t>17/07/2018</t>
  </si>
  <si>
    <t>FRANCISCO JAVIER ANDRADE MORENO</t>
  </si>
  <si>
    <t>SERVICIO DE REPARTO FACT 806 SEMANA 23 AL 29 JULIO 2018</t>
  </si>
  <si>
    <t>CAFE CONSUMOS TRO FACT A953</t>
  </si>
  <si>
    <t>RECARGA DE EXTINTORES EN LAS SUCURSALES FACT 0E1A2 TORTAS RO</t>
  </si>
  <si>
    <t>IMPUESTOS FEDERALES MENSUALIDAD JUNIO 2018</t>
  </si>
  <si>
    <t>20/07/2018</t>
  </si>
  <si>
    <t>COMPU ACCESORIOS DE OCCIDENTE SA DE CV</t>
  </si>
  <si>
    <t>CONSULTORES JURIDICOS CAMOB SC</t>
  </si>
  <si>
    <t>PAPELERIA FACT B12535 ROLLOS PARA LAS MAQUINAS DE CAJA</t>
  </si>
  <si>
    <t>GASTOS NOTARIALES CNVENIO CERVECERIA MODELO</t>
  </si>
  <si>
    <t>27/07/2018</t>
  </si>
  <si>
    <t>ANDRES ROCHA GONZALEZ</t>
  </si>
  <si>
    <t>25/07/2018</t>
  </si>
  <si>
    <t>30/07/2018</t>
  </si>
  <si>
    <t>26/07/2018</t>
  </si>
  <si>
    <t>IGNACIO MESTAS CALDERON</t>
  </si>
  <si>
    <t>DESECHABLES BOLSA Y MAS FACT B175</t>
  </si>
  <si>
    <t>FUMIGACIONES FACT 395 MENSUALIDAD JULIO 2018 TRO</t>
  </si>
  <si>
    <t>SERVICIO DE REPARTO FACT D71F8 (SEMANA 30 JULIO AL 5 DE AGOSTO 2018)</t>
  </si>
  <si>
    <t>PROGRAMAS SISTEMAS SEGUNDO PAGO FACT CFDI639 TRO</t>
  </si>
  <si>
    <t>PAGO PRESTAMO PRIMERA MENSUALIDAD JULIO 2018 TRO</t>
  </si>
  <si>
    <t>TELEFONOS SUCURSAL PALOMAR MES FACTURADO JULIO 2018</t>
  </si>
  <si>
    <t>06/08/2018</t>
  </si>
  <si>
    <t>TRASPASO ENTRE CUENTAS AGUINALDOS 2018 MENSUALIDAD JULIO</t>
  </si>
  <si>
    <t>01/08/2018</t>
  </si>
  <si>
    <t>LAS ATARJEAS S DE PR DE RL</t>
  </si>
  <si>
    <t>MANEJO DE REDES SOCIALES FACT A83 MENSUALIDAD JULIO 2018 TRO</t>
  </si>
  <si>
    <t>COMPRAS AGUACATE Y LIMON TORTAS RO FACT 146</t>
  </si>
  <si>
    <t>08/08/2018</t>
  </si>
  <si>
    <t>07/08/2018</t>
  </si>
  <si>
    <t>JOSE ALEJANDRO GONTES GARCIA</t>
  </si>
  <si>
    <t>LUZ PALOMAR PERIODO FACTURADO 22 DE JUNIO AL 23 JULIO 2018</t>
  </si>
  <si>
    <t>DESARROLLO DE FRANQUICIAS MENSUALIDAD AGOSTO 2018 FACT 1568</t>
  </si>
  <si>
    <t>SERVICIO DE REPARTO FACT 901 (SEMANA 13 AL 19 AGOSTO) FACT 870 (SEMANA 6 AL 12 AGOSTO)</t>
  </si>
  <si>
    <t>CAFE CONSUMOS TRO FACT A981 TORTAS RO</t>
  </si>
  <si>
    <t>SISTEMA OSMOSIS INVERSA (AGUA) FACT 3023E MENSUALIDAD AGOSTO 2018</t>
  </si>
  <si>
    <t>MANTENIMIENTO EQ TRANSP TRO FACT L7855 CARRO CEDIS</t>
  </si>
  <si>
    <t>PAGO TARJETA JUDITH SEPTIMO PAGO TELEVISIONES INGLATERRA</t>
  </si>
  <si>
    <t>IMPUESTOS 2% S/NOMINA JULIO 18</t>
  </si>
  <si>
    <t>TELEFONOS SUC TEPEYAC (MES FACTURADO JULIO 2018)</t>
  </si>
  <si>
    <t>TELEFONOS INGLATERRA MES FACTURADO JULIO 2018</t>
  </si>
  <si>
    <t>15/08/2018</t>
  </si>
  <si>
    <t>14/08/2018</t>
  </si>
  <si>
    <t>16/08/2018</t>
  </si>
  <si>
    <t>PAGO PRESTAMO PRIMERA MENSULIDAD DE 30 TRO</t>
  </si>
  <si>
    <t>LUZ TEPEYAC (PERIODO FACTURADO 31 DE MAYO AL 31 DE JULIO 18)</t>
  </si>
  <si>
    <t>SERVICIO DE REPARTO FACT 938 SEMANA 20 AL 26 AGOSTO 2018</t>
  </si>
  <si>
    <t>RENTA LOCAL TRO MENSUALIDAD AGOSTO 2018</t>
  </si>
  <si>
    <t>IMPUESTOS SEGURO SOCIAL  PERIODO JULIO 2018</t>
  </si>
  <si>
    <t>COMPRA DE LIMONES FACT 147 TRO</t>
  </si>
  <si>
    <t>VASOS CAFE Y TAPAS SUCURSALES FACT</t>
  </si>
  <si>
    <t>22/08/2018</t>
  </si>
  <si>
    <t>17/08/2018</t>
  </si>
  <si>
    <t>FERRETERIA EL PERIFERICO DE GUADALAJARA</t>
  </si>
  <si>
    <t>QUALITAS COMPAÑIA DE SEGUROS SA CV</t>
  </si>
  <si>
    <t xml:space="preserve">MANTENIMIENTO FACT A5668  LIMPIEZA DE GRASAS PALOMAR </t>
  </si>
  <si>
    <t>LUZ INGLATERRA PERIODO FACTURADO 11 JUN AL 09 AGOSTO 2018</t>
  </si>
  <si>
    <t>SERVICIO DE REPARTO FACT 986 SEMANA 27 AGOSTO AL 2 SEPTIEMBRE 2018</t>
  </si>
  <si>
    <t>MANTENIMIENTO TRO BOMBA SUC INGLATERRA</t>
  </si>
  <si>
    <t>PAGO PRESTAMO SEGUNDO PAGO TRO</t>
  </si>
  <si>
    <t>IMPUESTOS FEDERALES MES JULIO 2018</t>
  </si>
  <si>
    <t>POLIZA 1340102485 DE SEGURO VEHICULOS I 10 CARRO CEDIS</t>
  </si>
  <si>
    <t>CAPACITACION GABRIEL PONCE FRANQUICIAS FACT B434</t>
  </si>
  <si>
    <t>MUSICA Y SONIDO FACT 18939 MENSUALIDAD AGOSTO 2018</t>
  </si>
  <si>
    <t>TELEFONOS SUC PALOMAR PERIODO FACTURADO AGOSTO 2018</t>
  </si>
  <si>
    <t>CORPORATIVO LAS PAPAS S DE RL DE CV</t>
  </si>
  <si>
    <t>HALL MICRO COMPUTADORAS SA DE CV</t>
  </si>
  <si>
    <t>PEDRO ALEJANDRO GONZALEZ SAMANO</t>
  </si>
  <si>
    <t>ARTICULOS TABLETS UBER FACT 10224497</t>
  </si>
  <si>
    <t>llantas carro VEA fact 2931</t>
  </si>
  <si>
    <t>24/08/2018</t>
  </si>
  <si>
    <t>INGENIUM ET EDIFICATORIA SA DE CV</t>
  </si>
  <si>
    <t>23/08/2018</t>
  </si>
  <si>
    <t xml:space="preserve">REFRIGERACION EN JALISCO SA CV </t>
  </si>
  <si>
    <t xml:space="preserve">MANTENIMIENTO TRO FACT 415, INSTALACIONES DE HORNO Y BOMBA SUC INGLATERRA </t>
  </si>
  <si>
    <t>REFRIGERADOR SUC INGLATERRA TRO FACT</t>
  </si>
  <si>
    <t>29/08/2018</t>
  </si>
  <si>
    <t>28/08/2018</t>
  </si>
  <si>
    <t>SERVICIO DE REPARTO FACT 1029 (SEMANA 3 AL 9 DE SEPTIEMBRE 18)</t>
  </si>
  <si>
    <t>MANEJO DE REDES SOCIALES FACT A57 MENSUALIDAD AGOSTO 2018</t>
  </si>
  <si>
    <t>UBER EATS</t>
  </si>
  <si>
    <t>PAGO PROVEEDOR RAYA NOTA  R143985 (27/09/18)</t>
  </si>
  <si>
    <t>PAGO PROVEEDOR RAYA NOTA  R144142 (29/09/18)</t>
  </si>
  <si>
    <t>PAGO PROVEEDOR RAYA NOTA  R144066 (28/09/18)</t>
  </si>
  <si>
    <t>PAGO PROVEEDOR RAYA NOTA  R144183 (01/10/18)</t>
  </si>
  <si>
    <t>04/09/2018</t>
  </si>
  <si>
    <t>TRASPASO ENTRE CUENTAS CUENTA DE INVERSION AGUINALDOS MENSUALIDAD SEPTIEMBRE 18</t>
  </si>
  <si>
    <t>30/09/2018</t>
  </si>
  <si>
    <t>05/09/2018</t>
  </si>
  <si>
    <t>06/09/2018</t>
  </si>
  <si>
    <t>LUZ PALOMAR TRO MES FACTURADO 23 JUL AL 22 AGOSTO 18</t>
  </si>
  <si>
    <t>DESARROLLO DE FRANQUICIAS FACT 1592 MENSUALIDAD SEPTIEMBRE 2018</t>
  </si>
  <si>
    <t>SERVICIO DE REPARTO FACT 1066 (SEMANA 10 AL 16 SEPTIEMBRE 18)</t>
  </si>
  <si>
    <t>CAFE CONSUMOS TRO FACT A1006</t>
  </si>
  <si>
    <t>MANTENIMIENTO EQ TRANSP GASOLINA TRO FACT AE10736</t>
  </si>
  <si>
    <t>PAGO TARJETA OCTAVO PAGO TELEVISION INGLATERRA</t>
  </si>
  <si>
    <t>IMPUESTOS 2% S/NOMINA AGOSTO 18</t>
  </si>
  <si>
    <t>TELEFONOS TRO MES FACTURADO AGOSTO 18</t>
  </si>
  <si>
    <t>10/09/2018</t>
  </si>
  <si>
    <t xml:space="preserve">MANTENIMIENTO EQUIPO DE TRANSPORTE FACT A964 CARRO CEDIS </t>
  </si>
  <si>
    <t>12/09/2018</t>
  </si>
  <si>
    <t>13/09/2018</t>
  </si>
  <si>
    <t>JUST BDP SOLUTIONS SA DE CV</t>
  </si>
  <si>
    <t>SANABIT SA DE CV</t>
  </si>
  <si>
    <t>MENSUALIDAD PAGO PRESTAMO CERVECERIA</t>
  </si>
  <si>
    <t>SERVICIO DE REPARTO FACT 1110 SEMANA 17 AL 23 DE SEPTIEMBRE 2018</t>
  </si>
  <si>
    <t>IMPUESTOS SEGURO SOCIAL  PERIODO AGOSTO 18</t>
  </si>
  <si>
    <t>INVESTIGACION  DE MERCADOS PRIMER PAGO FACT 989 TRO</t>
  </si>
  <si>
    <t>FUMIGACIONES FACT 1183 TORTAS RO</t>
  </si>
  <si>
    <t>MUSICA Y SONIDO FACT 21394 MENSUALIDAD SEPTIEMBRE TRO</t>
  </si>
  <si>
    <t>TELEFONOS SUC INGLATERRA PERIODO FACTURADO AGOSTO 18</t>
  </si>
  <si>
    <t>19/09/2018</t>
  </si>
  <si>
    <t>18/09/2018</t>
  </si>
  <si>
    <t>SERVICIO DE REPARTO FACT 1155 (SEMANA 23 AL 30 SEPTIEMBRE 2018)</t>
  </si>
  <si>
    <t>MANTENIMIENTO TORTAS RO FACT D2420E (INSTALACION DE TRIFASICA)</t>
  </si>
  <si>
    <t>LETREROS PUBLICITARIOS DISEÑOS DE ESPECTACULOS FACT F41 TRO SUCURSALES</t>
  </si>
  <si>
    <t>24/09/2018</t>
  </si>
  <si>
    <t>IMPUESTOS FEDERALES PERIODO AGOSTO 2018</t>
  </si>
  <si>
    <t>26/09/2018</t>
  </si>
  <si>
    <t>28/09/2018</t>
  </si>
  <si>
    <t>ELEAZAR CARRILLO CAMARENA</t>
  </si>
  <si>
    <t>SERVICIO DE REPARTO FACT 1198 TRO (SEMANA 1 AL 7 DE OCTUBRE 2018)</t>
  </si>
  <si>
    <t>ACTUALIZACION SISTEMA CONTPAC Y CAPACITAACION FACT A2327</t>
  </si>
  <si>
    <t>SISTEMA OSMOSIS INVERSA (AGUA) MENSUALIDAD SEPTIEMBRE TRO 2018 FACT 3147E</t>
  </si>
  <si>
    <t>EXTINTORES RECARGA EN SUC TEPEYAC FACT C1530F</t>
  </si>
  <si>
    <t>PAGO PRESTAMO TERCER PAGO TRO</t>
  </si>
  <si>
    <t>TELEFONOS SUC PALOMAR FACTURACION SEPTIEMBRE</t>
  </si>
  <si>
    <t>COMPLEMENTO PAGO TARJET DE CREDITO FREE</t>
  </si>
  <si>
    <t>FECHA</t>
  </si>
  <si>
    <t>BENEFICIARIO</t>
  </si>
  <si>
    <t>IMPORTE</t>
  </si>
  <si>
    <t>CONCEPTO</t>
  </si>
  <si>
    <t>NOMINA #27 INGLATERRA</t>
  </si>
  <si>
    <t>NOMINA #27 TEPEYAC</t>
  </si>
  <si>
    <t>NOMINA #27 PALOMAR</t>
  </si>
  <si>
    <t>RENTA RODRIGO MESTAS GALLARDO JULIO 2018</t>
  </si>
  <si>
    <t>NOMINA #27 INCAPACIDAD LETICIA MANCILLA SUC INGLATERRA</t>
  </si>
  <si>
    <t>16/07/2018</t>
  </si>
  <si>
    <t>NOMINA #28TEPEYAC</t>
  </si>
  <si>
    <t>NOMINA #28 PALOMAR</t>
  </si>
  <si>
    <t>CUCHARAS PARA EVENTO 4 DE JULIO "BARRAGAN" NOTA  "OXXO SA DE CV" (04/07/2018)</t>
  </si>
  <si>
    <t>NOMINA #28 INGLATERRA</t>
  </si>
  <si>
    <t>23/07/2018</t>
  </si>
  <si>
    <t>NOMINA #29TEPEYAC</t>
  </si>
  <si>
    <t>NOMINA #29 PALOMAR</t>
  </si>
  <si>
    <t>NOMINA #28 INCAPACIDAD LETICIA MANCILLA SUC INGLATERRA</t>
  </si>
  <si>
    <t>NOMINA #30TEPEYAC</t>
  </si>
  <si>
    <t>NOMINA #30 PALOMAR</t>
  </si>
  <si>
    <t>RECIPIENTES PARA LA COMIDA SUCURSALES FACT/E48897 "PLASTICAJAS DE OCCIDENTE"</t>
  </si>
  <si>
    <t>NOMINA #29 INGLATERRA</t>
  </si>
  <si>
    <t>NOMINA #27 CEDIS</t>
  </si>
  <si>
    <t>FINIQUITO LABORAL "HECTOR EDUARDO GUERRERO VAZQUEZ" SUC INGLATERRA</t>
  </si>
  <si>
    <t xml:space="preserve">NOMINA #27 JUDITH BEHAR QUIÑONES  </t>
  </si>
  <si>
    <t>NOMINA #30 INGLATERRA</t>
  </si>
  <si>
    <t>NOMINA #27 ALFONSO AGUILAR AGUIRRE</t>
  </si>
  <si>
    <t>NOMINA #30 CARLOS RICO MARROQUIN</t>
  </si>
  <si>
    <t>EVENTO 04 DE JULIO 2018 NOMINA #27 JULIO CESAR JIMENEZ CEDIS</t>
  </si>
  <si>
    <t>EVENTO 04 DE JULIO 2018 NOMINA #27 ESTHELA LOPEZ CEDIS</t>
  </si>
  <si>
    <t>COMPRA DE LLAVE DE GAS PARA ESTUFA CEDIS (12/07/2018)</t>
  </si>
  <si>
    <t>GASOLINA  "GASOLINERA REMUS SA DE CV" NOTA #179753</t>
  </si>
  <si>
    <t>NOMINA #27 (DÍA DE DESCANSO ANA ROCIO)</t>
  </si>
  <si>
    <t>SIAPA SUC INGLATERRA (24 MAYO AL 21 JUNIO 2018)</t>
  </si>
  <si>
    <t>NOMINA #28 CEDIS</t>
  </si>
  <si>
    <t xml:space="preserve">NOMINA #28 JUDITH BEHAR QUIÑONES  </t>
  </si>
  <si>
    <t>NOMINA #28 ALFONSO AGUILAR AGUIRRE</t>
  </si>
  <si>
    <t>CAMBIO DE LLANTAS Y BALANCEO FACT/L7537 "GONTEZ MULTILLANTAS" CARRO CEDIS (19/07/2018)</t>
  </si>
  <si>
    <t>ACEITUNAS, ALCAPARRAS, PEREJIL, CHAMPIÑON EVENTO RODRIGO MESTAS (20/07/2018)</t>
  </si>
  <si>
    <t>NOMINA #29 CEDIS</t>
  </si>
  <si>
    <t xml:space="preserve">NOMINA #29 JUDITH BEHAR QUIÑONES  </t>
  </si>
  <si>
    <t>NOMINA #29 ALFONSO AGUILAR AGUIRRE</t>
  </si>
  <si>
    <t>BONO POR VENTA GABRIEL PONCE (ENERO A ABRIL)</t>
  </si>
  <si>
    <t>RECIBO #1056453 ESTACIONAMIENTO ESTABLECIMIENTO SAMS (27/07/2018)</t>
  </si>
  <si>
    <t>CELULAR RAFAEL MEDINA TICKE GA003524 "MACELL" (27/07/2018)</t>
  </si>
  <si>
    <t>AGUA POTABLE * RESIDENTE DE CHAPALITA (CONSUMO JUNIO 2018)(FOLIO 79004)</t>
  </si>
  <si>
    <t>APOYO CREDITO CELULAR RAFAEL MEDINA MES JULIO 2018 FACT/AEIJ5350</t>
  </si>
  <si>
    <t xml:space="preserve">VALE DE CAJA "APOYO CELULAR MENSUALIDAD JUNIO/JULIO GABRIEL PONCE </t>
  </si>
  <si>
    <t>NOMINA #30 CEDIS</t>
  </si>
  <si>
    <t xml:space="preserve">NOMINA #30 JUDITH BEHAR QUIÑONES  </t>
  </si>
  <si>
    <t>NOMINA #30 ALFONSO AGUILAR AGUIRRE</t>
  </si>
  <si>
    <t>TORTILLAS TACOS DORADOS PEPE´S NOTA (02/08/2018)</t>
  </si>
  <si>
    <t>TOSTADAS NOTA "TOSTADAS MARU" (06/08/2018)</t>
  </si>
  <si>
    <t>EMBUTIDOS CORONA FOLIO G1610208 (CHORIZO)(02/08/2018)</t>
  </si>
  <si>
    <t>VALE DE CAJA PAGO BASURA SEMANA 30 JULIO AL 05 DE AGOSTO 2018</t>
  </si>
  <si>
    <t>FLAN DOLCE FLAN REMISION 2620  (03/08/2018)</t>
  </si>
  <si>
    <t>SOPES, ENCHILADAS, TACO NOTA SANTA TERE (31/07/2018)</t>
  </si>
  <si>
    <t>TOSTADAS NOTA "TOSTADAS MARU" (31/07/2018)</t>
  </si>
  <si>
    <t>TORTILLA NOTA (31/07/2018)</t>
  </si>
  <si>
    <t>TORTILLA NOTA (01/08/2018)</t>
  </si>
  <si>
    <t>TORTILLA NOTA (03/08/2018)</t>
  </si>
  <si>
    <t>MAIZ PARA POZOLE NOTA (31/07/2018)</t>
  </si>
  <si>
    <t xml:space="preserve">FOLIO 706011 GAS LOS ALTOSS </t>
  </si>
  <si>
    <t>DULCE REMISION NV 219.938 (31/07/2018)</t>
  </si>
  <si>
    <t>NARANJA TICKET (31/07/2018)</t>
  </si>
  <si>
    <t>VASO DE LICUADORA, UNIDAD DE AGITADOR TICKET "SERVICIOS DE MANTENIMIENTO CASTILIO" NOTA 4901 (31/07/2018)</t>
  </si>
  <si>
    <t>VALE DE CAJA SUPLICADO DE LLAVE SUC TEPEYAC (31/07/2018)</t>
  </si>
  <si>
    <t>JITOMATE DE SEGUNDA NOTA (31/07/2018)</t>
  </si>
  <si>
    <t>SKY SUC INGLATERRA + COMISIÓN (10 PESOS)</t>
  </si>
  <si>
    <t>SKY SUC TEPEYAC + COMISIÓN (10 PESOS)</t>
  </si>
  <si>
    <t>SKY SUC PALOMAR + COMISIÓN (10 PESOS)</t>
  </si>
  <si>
    <t>BOING TICKET 18214345 "SOCIEDAD COOPERATIVA TRABAJADORES DE PASCUAL" (02/07/2018)</t>
  </si>
  <si>
    <t>NARANJA TICKET (03/07/2018)</t>
  </si>
  <si>
    <t>SIAPA SUC INGLATERRA (22 JUNIO AL 20 JULIO 2018)</t>
  </si>
  <si>
    <t>VOLANTES #AMATEDITORIAL" NOTA</t>
  </si>
  <si>
    <t>PAGO PROVEEDOR GRUPO INDUSTRIAL Y COMERCIAL NAVARRO SA DE CV FACT/48365 (30/07/2018)</t>
  </si>
  <si>
    <t>PAGO PROVEEDOR GRUPO INDUSTRIAL Y COMERCIAL NAVARRO SA DE CV FACT/48364 (30/07/2018)</t>
  </si>
  <si>
    <t>MANGUERA REFORZADA PARA CEDIS "ALVARO VELAZQUEZ OBREGON" FACT/F58997 (31/07/2018)</t>
  </si>
  <si>
    <t>ANUNCIO PERIODICO EL INFORMADOR FACT/UNO98139 SUC TEPEYAC E INGLATERRA</t>
  </si>
  <si>
    <t>NOMINA #05 CEDIS</t>
  </si>
  <si>
    <t>SIAPA SUC INGLATERRA (21 DIC 17- 22 ENERO 18)</t>
  </si>
  <si>
    <t xml:space="preserve">NOMINA #05 JUDITH BEHAR QUIÑONES  </t>
  </si>
  <si>
    <t>NOMINA #05 TEPEYAC</t>
  </si>
  <si>
    <t>NOMINA #05 PALOMAR</t>
  </si>
  <si>
    <t>RENTA RODRIGO MESTAS GALLARDO FEBRERO 2018</t>
  </si>
  <si>
    <t>NOMINA #05 INGLATERRA</t>
  </si>
  <si>
    <t>NOMINA #06 TEPEYAC</t>
  </si>
  <si>
    <t>NOMINA #06 PALOMAR</t>
  </si>
  <si>
    <t>NOMINA #06 CEDIS</t>
  </si>
  <si>
    <t>NOMINA #06 INGLATERRA</t>
  </si>
  <si>
    <t>AGUA POTABLE * RESIDENTE DE CHAPALITA (CONSUMO ENERO)(FOLIO 77134)</t>
  </si>
  <si>
    <t>NOMINA #07 PALOMAR</t>
  </si>
  <si>
    <t xml:space="preserve">NOMINA #06 JUDITH BEHAR QUIÑONES  </t>
  </si>
  <si>
    <t>FINIQUITO REYNA VEGA IBARRA SUC INGLATERRA</t>
  </si>
  <si>
    <t>NOMINA #07 TEPEYAC</t>
  </si>
  <si>
    <t>NOMINA #08 PALOMAR</t>
  </si>
  <si>
    <t xml:space="preserve">CRÉDITO CELULAR FEBRERO/18  RAFAEL MEDINA  FACT </t>
  </si>
  <si>
    <t>NOMINA #07 INGLATERRA</t>
  </si>
  <si>
    <t>NOMINA #08 TEPEYAC</t>
  </si>
  <si>
    <t>FOLIO 676245 GAS LOS ALTOSS VALE DE CAJA</t>
  </si>
  <si>
    <t>NOMINA #07 CEDIS</t>
  </si>
  <si>
    <t>NOMINA #08 INGLATERRA</t>
  </si>
  <si>
    <t>FOLIO 670133 GAS LOS ALTOSS VALE DE CAJA</t>
  </si>
  <si>
    <t>FOLIO 635720 GAS LOS ALTOSS VALE DE CAJA</t>
  </si>
  <si>
    <t xml:space="preserve">NOMINA #07 JUDITH BEHAR QUIÑONES  </t>
  </si>
  <si>
    <t>FOLIO 668398 GAS LOS ALTOSS VALE DE CAJA</t>
  </si>
  <si>
    <t>FOLIO 667522 GAS LOS ALTOSS VALE DE CAJA</t>
  </si>
  <si>
    <t>23/02/2018</t>
  </si>
  <si>
    <t>FOLIO 682566 GAS LOS ALTOSS VALE DE CAJA</t>
  </si>
  <si>
    <t xml:space="preserve">BONO DE POSTRES ENERO </t>
  </si>
  <si>
    <t>COMPLEMENTO NOMINA #5 JULIETA REYNOSO</t>
  </si>
  <si>
    <t>17/02/2018</t>
  </si>
  <si>
    <t>FOLIO 661139 GAS LOS ALTOSS VALE DE CAJA</t>
  </si>
  <si>
    <t>20/02/2018</t>
  </si>
  <si>
    <t>FINIQUITO AURORA GOMEZ DE LOS SANTOS</t>
  </si>
  <si>
    <t>FOLIO 676254 GAS LOS ALTOSS VALE DE CAJA</t>
  </si>
  <si>
    <t>24/02/2018</t>
  </si>
  <si>
    <t>FOLIO 682573 GAS LOS ALTOSS VALE DE CAJA</t>
  </si>
  <si>
    <t>ANUNCIO UNION EDITORIAL SA DE CV FACT/UNO95553</t>
  </si>
  <si>
    <t>FOLIO 676253 GAS LOS ALTOSS VALE DE CAJA</t>
  </si>
  <si>
    <t>FOCOS SUCURSAL PALOMAR E INGLATERRA FACT/F1FC607804 "ELECTRICA VARIEDADES DE GUADALAJARA SA DE CV</t>
  </si>
  <si>
    <t>FOLIO 635708 GAS LOS ALTOSS VALE DE CAJA</t>
  </si>
  <si>
    <t>NOMINA #08 CEDIS</t>
  </si>
  <si>
    <t>FOLIO 635793 GAS LOS ALTOSS VALE DE CAJA</t>
  </si>
  <si>
    <t xml:space="preserve">NOMINA #08 JUDITH BEHAR QUIÑONES  </t>
  </si>
  <si>
    <t>FOLIO 635759 GAS LOS ALTOSS VALE DE CAJA</t>
  </si>
  <si>
    <t>FINIQUITO KARINA VEGA IBARRA SUC INGLATERRA</t>
  </si>
  <si>
    <t>FOLIO 682501 GAS LOS ALTOSS VALE DE CAJA</t>
  </si>
  <si>
    <t>FINIQUITO MARCO HERNÁNDEZ HERNÁNDEZ SUC INGLATERRA</t>
  </si>
  <si>
    <t>COMPLEMENTO NOMINA #8 MARCO HERNÁNDEZ VALE DE CAJA</t>
  </si>
  <si>
    <t>AJUSTO VALOR 20 DOLARES EN SUC PALOMAR (COBRADO A 18 Y CAMBIADO 17)</t>
  </si>
  <si>
    <t>COMPLEMENTO NOMINA #8 AMAIRANI MEDRANO VALE DE CAJA</t>
  </si>
  <si>
    <t xml:space="preserve">CRÉDITO CELULAR FEBRERO/18  GABRIEL PONCE  FACT </t>
  </si>
  <si>
    <t>FOLIO 683839 GAS LOS ALTOSS VALE DE CAJA</t>
  </si>
  <si>
    <t>23/03/2018</t>
  </si>
  <si>
    <t>LICENCIA SUC INGLATERRA</t>
  </si>
  <si>
    <t>NOMINA #13 CEDIS</t>
  </si>
  <si>
    <t>NOMINA #13 INGLATERRA</t>
  </si>
  <si>
    <t>NOMINA #13 TEPEYAC</t>
  </si>
  <si>
    <t>NOMINA #13 PALOMAR</t>
  </si>
  <si>
    <t xml:space="preserve">NOMINA #13 JUDITH BEHAR QUIÑONES  </t>
  </si>
  <si>
    <t>NOMINA #13 CARLOS RICO (AUMENTO MENSUAL)</t>
  </si>
  <si>
    <t>NOMINA #14 TEPEYAC</t>
  </si>
  <si>
    <t>NOMINA #14 PALOMAR</t>
  </si>
  <si>
    <t>BONO POSTRES FEBRERO 2018</t>
  </si>
  <si>
    <t>COMPLEMENTO NOMINA #13 JULIETA VALE DE CAJA</t>
  </si>
  <si>
    <t>13/04/2018</t>
  </si>
  <si>
    <t>GABRIEL PONCE LICENCIA MUNICIPAL SUC TEPEYAC RECIBO L-401558</t>
  </si>
  <si>
    <t>16/05/2018</t>
  </si>
  <si>
    <t>NOMINA #15 PALOMAR</t>
  </si>
  <si>
    <t>NOMINA #14 ALFONSO AGUILAR AGUIRRE</t>
  </si>
  <si>
    <t>COMPLEMENTO NOMINA #13 ALEJANDRO JARA VALE DE CAJA</t>
  </si>
  <si>
    <t>NOMINA #15 TEPEYAC</t>
  </si>
  <si>
    <t>17/04/2018</t>
  </si>
  <si>
    <t>FINIQUITO OSCAR MICHEL BAÑALES GUTIÉRREZ SUC PALOMAR</t>
  </si>
  <si>
    <t>NOMINA #14 CEDIS</t>
  </si>
  <si>
    <t>NOMINA #14 INGLATERRA</t>
  </si>
  <si>
    <t>NOMINA #16 TEPEYAC</t>
  </si>
  <si>
    <t>NOMINA #16 PALOMAR</t>
  </si>
  <si>
    <t xml:space="preserve">NOMINA #14 JUDITH BEHAR QUIÑONES  </t>
  </si>
  <si>
    <t>COMPLEMENTO NOMINA #14 JULIETA VALE DE CAJA</t>
  </si>
  <si>
    <t>NOMINA #17 TEPEYAC</t>
  </si>
  <si>
    <t>NOMINA #17 PALOMAR</t>
  </si>
  <si>
    <t>RODRIGO MESTAS GALLARDO RENTA MENSUALIDAD ABRIL 18</t>
  </si>
  <si>
    <t>SIAPA SUC INGLATERRA (22 DE FEB A 23 MARZO 2018)</t>
  </si>
  <si>
    <t>COMPLEMENTO DE NOMINA #17 ALEXIS RAMOS</t>
  </si>
  <si>
    <t>DOMINIO FACT/NIN0703295W0 SALVADOR GARCIA (RO TARJETA FREE)</t>
  </si>
  <si>
    <t>NOMINA #15 INGLATERRA</t>
  </si>
  <si>
    <t>ANUNCIO DE VACANTES PERIODICO FACT/UNO96207 (SUC TEPEYAC E INGLATERRA)</t>
  </si>
  <si>
    <t>NOMINA #16 INGLATERRA</t>
  </si>
  <si>
    <t>LLANTA CARRO CEDIS ATOS "GONTEZ MULTILLANTAS" FACT/L6319 (CORTE PALOMAR)</t>
  </si>
  <si>
    <t>NOMINA #17 INGLATERRA</t>
  </si>
  <si>
    <t>NOMINA #15 CEDIS</t>
  </si>
  <si>
    <t>NOMINA #17 CARLOS RICO MARROQUIN (AUMENTO MENSUAL ABRIL 2018)</t>
  </si>
  <si>
    <t xml:space="preserve">NOMINA #15 JUDITH BEHAR QUIÑONES  </t>
  </si>
  <si>
    <t>APOYO FACTURA F2981 REPARACIÓN VEHICULO CARLOS RICO MARROQUIN SUC INGLATERRA</t>
  </si>
  <si>
    <t>NOMINA #15 ALFONSO AGUILAR AGUIRRE</t>
  </si>
  <si>
    <t>NOMINA #16 CEDIS</t>
  </si>
  <si>
    <t xml:space="preserve">NOMINA #16 JUDITH BEHAR QUIÑONES  </t>
  </si>
  <si>
    <t>NOMINA #16 ALFONSO AGUILAR AGUIRRE</t>
  </si>
  <si>
    <t>FINIQUITO MARÍA DEL CARMEN ESTRADA GARCÍA SUC CEDIS</t>
  </si>
  <si>
    <t>MULTAS MOTOCICLETA MARCA HONDA VERSION GL-150 PLACAS NCT9F (GABRIEL PONCE)(24/04/2018)</t>
  </si>
  <si>
    <t>CRÉDITO CELULAR  ABRIL/18  RAFAEL MEDINA FACT/</t>
  </si>
  <si>
    <t>NOMINA #17 CEDIS</t>
  </si>
  <si>
    <t xml:space="preserve">NOMINA #17 JUDITH BEHAR QUIÑONES  </t>
  </si>
  <si>
    <t>NOMINA #17 ALFONSO AGUILAR AGUIRRE</t>
  </si>
  <si>
    <t>LA SECRETARÍA DE PLANEACIÓN, ADMINISTRACIÓN Y FINANZA</t>
  </si>
  <si>
    <t>RENTA RODRIGO MESTAS GALLARDO MAYO 2018</t>
  </si>
  <si>
    <t>FINIQUITO CARLOS ALBERTO GARCÍA SUC INGLATERRA</t>
  </si>
  <si>
    <t>GASTOS PERSONALES RODRIGO MESTAS</t>
  </si>
  <si>
    <t>NOMINA #18 TEPEYAC</t>
  </si>
  <si>
    <t>NOMINA #18 PALOMAR</t>
  </si>
  <si>
    <t>NOMINA #18 CEDIS</t>
  </si>
  <si>
    <t>FINIQUITO CARLOS AARÓN SEDANO CHAVEZ SUC TEPEYAC</t>
  </si>
  <si>
    <t>14/05/2018</t>
  </si>
  <si>
    <t>NOMINA #19 TEPEYAC</t>
  </si>
  <si>
    <t>NOMINA #19 PALOMAR</t>
  </si>
  <si>
    <t xml:space="preserve">NOMINA #18 JUDITH BEHAR QUIÑONES  </t>
  </si>
  <si>
    <t>NOMINA #18 INGLATERRA</t>
  </si>
  <si>
    <t>21/05/2018</t>
  </si>
  <si>
    <t>NOMINA #20 TEPEYAC</t>
  </si>
  <si>
    <t>NOMINA #20 PALOMAR</t>
  </si>
  <si>
    <t>NOMINA #18 ALFONSO AGUILAR AGUIRRE</t>
  </si>
  <si>
    <t>SIAPA SUC INGLATERRA (24 MARZO AL 24 ABRIL 2018)</t>
  </si>
  <si>
    <t>AGUA POTABLE * RESIDENTE DE CHAPALITA (CONSUMO MARZO)(FOLIO 78054)</t>
  </si>
  <si>
    <t>NOMINA #20 APOYO TRANSPORTE JUAN MARTIN</t>
  </si>
  <si>
    <t>NOMINA EVENTO ESTHELA LOPEZ PLATA</t>
  </si>
  <si>
    <t>NOMINA #18 CARLOS SEDANO</t>
  </si>
  <si>
    <t>AGUA POTABLE * RESIDENTE DE CHAPALITA (CONSUMO ABRIL)(FOLIO 78248)</t>
  </si>
  <si>
    <t>28/05/2018</t>
  </si>
  <si>
    <t>NOMINA #21 PALOMAR</t>
  </si>
  <si>
    <t>NOMINA EVENTO AIDA HERNÁNDEZ</t>
  </si>
  <si>
    <t>NOMINA #19 INGLATERRA</t>
  </si>
  <si>
    <t>NOMINA #21 TEPEYAC</t>
  </si>
  <si>
    <t>NOMINA EVENTO JULIO CESAR JIMENEZ SOLTERO</t>
  </si>
  <si>
    <t>18/05/2018</t>
  </si>
  <si>
    <t>NOMINA #19 ELIZABETH CAMPECHANO</t>
  </si>
  <si>
    <t>APOYO MEDICAMENTO PAOLA RAMIRES SU TEPEYAC (28/05/2018)</t>
  </si>
  <si>
    <t>NOMINA #18 GUILLERMO GARIBAY VALE DE CAJA</t>
  </si>
  <si>
    <t>NOMINA #20 INGLATERRA</t>
  </si>
  <si>
    <t>NOMINA #19 ALEXIS RAMOS VILLANUEVA VALE DE CAJA</t>
  </si>
  <si>
    <t>GASTOS PERSONALES RODRIGO MESTAS (FUT BOL)</t>
  </si>
  <si>
    <t>NOMINA #21 INGLATERRA</t>
  </si>
  <si>
    <t>COMPLEMENTO NOMINA IVON VALE DE CAJA</t>
  </si>
  <si>
    <t>COMPLEMENTO DE NOMINA #19 BRAYAN VALE DE CAJA</t>
  </si>
  <si>
    <t>LICENCIA CHOFER IAN EMMANUEL RUIZ HERNANDEZ</t>
  </si>
  <si>
    <t>COMPLEMENTO #21 JOSE DE JESUS VALE DE CAJA</t>
  </si>
  <si>
    <t xml:space="preserve">COMPLEMENTO NOMINA #20 BRAYAN ALEXIS </t>
  </si>
  <si>
    <t>PAGO POR INSTALACIÓN EN COCINA CEDIS CARLOS SEDANO</t>
  </si>
  <si>
    <t>COMPLEMENTO NOMINA #18 OSCAR BARRAGAN</t>
  </si>
  <si>
    <t>BOTE DE BASURA SUC INGLATERRA FACT E47377 (09/05/2018) "PLASTICAJAS DE OCCIDENTE"</t>
  </si>
  <si>
    <t>COMPLEMENTO NOMINA #20 CARLOS RICO VALE DE CAJA</t>
  </si>
  <si>
    <t>ATOMIZADOR, EMBUDO CEDIS FACT/E47377 (09/05/2018) "PLASTICAJAS DE OCCIDENTE"</t>
  </si>
  <si>
    <t>COMPLEMENTO NOMINA #20 OSCAR BARRAGAN TEPEYAC VALE DE CAJA</t>
  </si>
  <si>
    <t>COMPLEMENTO ADEUDO VEHICULAR CEDIS PLACAS JHU8101 SERIE: MALAB51H4BM556384</t>
  </si>
  <si>
    <t xml:space="preserve">VALE PAGO REPARACIÓN MANGUERAS COCINA SALSAS CARLOS SEDANO (11/05/2018) </t>
  </si>
  <si>
    <t>ESTACIONAMIENTO GABRIEL PONCE (PAGO DE MOTO) NOTA 3992</t>
  </si>
  <si>
    <t>NOMINA #19 CEDIS</t>
  </si>
  <si>
    <t xml:space="preserve">NOMINA #19 JUDITH BEHAR QUIÑONES  </t>
  </si>
  <si>
    <t>NOMINA #19 ALFONSO AGUILAR AGUIRRE</t>
  </si>
  <si>
    <t>MULTA IMSS (1 ER PAGO)</t>
  </si>
  <si>
    <t>NOMINA #19 JESSICA VILLALOBOS</t>
  </si>
  <si>
    <t>VALE DE CAJA REPARACION Y PIEZA LICUADORA TEPEYAC CARLOS SEDANO</t>
  </si>
  <si>
    <t>PAQUETERIA Y MENSAJERIA FLECHA AMARILLA NOTA 3554844</t>
  </si>
  <si>
    <t xml:space="preserve">PAGO A RODRIGO MESTAS (COMPRA BANDEJAS EVENTO 6 MAYO 18)(ENTREGADO GABRIEL PONCE) VALE DE CAJA </t>
  </si>
  <si>
    <t>PLASTICOS TRASTES TEPEYAC TICKET (15/05/2018)</t>
  </si>
  <si>
    <t>NOMINA #20 CEDIS</t>
  </si>
  <si>
    <t xml:space="preserve">NOMINA #20 JUDITH BEHAR QUIÑONES  </t>
  </si>
  <si>
    <t>NOMINA #20 ALFONSO AGUILAR AGUIRRE</t>
  </si>
  <si>
    <t>NOMINA #21 CEDIS</t>
  </si>
  <si>
    <t xml:space="preserve">NOMINA #21 JUDITH BEHAR QUIÑONES  </t>
  </si>
  <si>
    <t>NOMINA #21 ALFONSO AGUILAR AGUIRRE</t>
  </si>
  <si>
    <t>VALE DE CAJA AGUACATE "JULIO CESAR JIMENEZ" (31/05/2018)</t>
  </si>
  <si>
    <t>VALE DE CAJA "APOYO CELULAR MENSUALIDAD ABRIL/MAYO GABRIEL PONCE "</t>
  </si>
  <si>
    <t>VALE DE CAJA "APOYO CELULAR MENSUALIDAD /MAYO RAFAEL MEDINCA FACT/ AAH0125245"</t>
  </si>
  <si>
    <t xml:space="preserve">PLATOS COMPRADOS EN TONALA NOTA </t>
  </si>
  <si>
    <t>NOMINA #22 CEDIS</t>
  </si>
  <si>
    <t>NOMINA #22 INGLATERRA</t>
  </si>
  <si>
    <t>NOMINA #22 TEPEYAC</t>
  </si>
  <si>
    <t>NOMINA #22 PALOMAR</t>
  </si>
  <si>
    <t xml:space="preserve">NOMINA #22 JUDITH BEHAR QUIÑONES  </t>
  </si>
  <si>
    <t>NOMINA #22 CARLOS RICO (AUMENTO MENSUAL MES MAYO)</t>
  </si>
  <si>
    <t>AGUA POTABLE * RESIDENTE DE CHAPALITA (CONSUMO MAYO)(FOLIO 78514)</t>
  </si>
  <si>
    <t>29/06/2018</t>
  </si>
  <si>
    <t>NOMINA #22 ALFONSO AGUILAR AGUIRRE</t>
  </si>
  <si>
    <t>NOMINA #23 INGLATERRA</t>
  </si>
  <si>
    <t>NOMINA #23 PALOMAR</t>
  </si>
  <si>
    <t>RO FREE VTO 02/ABRIL (HACER CUENTAS MENS MOTOS)</t>
  </si>
  <si>
    <t>SIAPA SUC INGLATERRA (28 MAYO AL 06 JUNIO 2018)</t>
  </si>
  <si>
    <t>ANUNCIO DE VACANTES PERIODICO FACT/UNO97265 (SUC TEPEYAC E INGLATERRA)</t>
  </si>
  <si>
    <t>NOMINA #24 PALOMAR</t>
  </si>
  <si>
    <t>RO DEP SCOTIABANK FCO JOSÉ CARRILLO D/L MORA (DR. ANDRES) 17/05/18</t>
  </si>
  <si>
    <t>FOCOS SUC INGLATERRA FACT/A44236 "DECORA ILUMINACION"</t>
  </si>
  <si>
    <t>FINIQUITO LABORAL "IVONNE MICHEL GUTTIERREZ GARCIA" SUC TEPEYAC</t>
  </si>
  <si>
    <t>NOMINA #25 PALOMAR</t>
  </si>
  <si>
    <t xml:space="preserve">ATARJEAS FACTS MIRIAM - RO TDC AMERCIAN EXPRESS VTO 02/05/18  </t>
  </si>
  <si>
    <t>PILA ENERGIZER PARA CALCULADORA SUC INGLATERRA TICKET FARMACIAS GDL (15/06/2018</t>
  </si>
  <si>
    <t>NOMINA #23 TEPEYAC</t>
  </si>
  <si>
    <t>NOMINA #26 PALOMAR</t>
  </si>
  <si>
    <t>PLASTICOSTRASTES NOTA 24821 "PLASTICOS Y JARCIERIA AGUILAR"</t>
  </si>
  <si>
    <t>NOMINA #24 TEPEYAC</t>
  </si>
  <si>
    <t>CUCHILLO NOTA L22487</t>
  </si>
  <si>
    <t>NOMINA #26 CARLOS RICO (AUMENTO MENSUAL MES JUNIO)</t>
  </si>
  <si>
    <t>NOMINA #25 TEPEYAC</t>
  </si>
  <si>
    <t>VOLANTES (BANNER) NOTA "AMATEDITORIAL" (06/06/2018)</t>
  </si>
  <si>
    <t xml:space="preserve">NOMINA #26 VACACIONES CARLOS RICO </t>
  </si>
  <si>
    <t>NOMINA #26 TEPEYAC</t>
  </si>
  <si>
    <t>BILLETE FALSO RAFAEL MEDINA</t>
  </si>
  <si>
    <t>NOMINA #26 INCAPACIDAD LETICIA MANCILLA SUC INGLATERRA</t>
  </si>
  <si>
    <t>30/06/2018</t>
  </si>
  <si>
    <t>NOMINA #23 CEDIS</t>
  </si>
  <si>
    <t xml:space="preserve">NOMINA #23 JUDITH BEHAR QUIÑONES  </t>
  </si>
  <si>
    <t>NOMINA #20 CARLOS ABRAHAM RODRIGUEZ SUC INGLATERRA (RENUNCIO Y DOS SEMANAS SE PRESENTO A COBRAR)</t>
  </si>
  <si>
    <t>NOMINA #23 ALFONSO AGUILAR AGUIRRE</t>
  </si>
  <si>
    <t>NOMINA #24 INGLATERRA</t>
  </si>
  <si>
    <t>RENTA RODRIGO MESTAS GALLARDO JUNIO 2018</t>
  </si>
  <si>
    <t>NOMINA #25 INGLATERRA</t>
  </si>
  <si>
    <t>CERTIFICADO DE CARTA LIBRE GRAVAMEN DOMICILIO "JUAREZ #749" (CREDITO CERVECERIA)</t>
  </si>
  <si>
    <t>NOMINA #26 INGLATERRA</t>
  </si>
  <si>
    <t>GASTOS PERSONALES RODRIGO MESTAS GALLARDO</t>
  </si>
  <si>
    <t>CARTA DE NO ADEUDO RECIBO 2725053 (11 JUNIO 2018)</t>
  </si>
  <si>
    <t>PAPELERIA CEDIS "OFFICE DEPOT DE MEXICO" FACT POSE49221921</t>
  </si>
  <si>
    <t>CORONA NOTA DE VENTA #MAT0287003 (16/06/2018)</t>
  </si>
  <si>
    <t>NOMINA #24 CEDIS</t>
  </si>
  <si>
    <t xml:space="preserve">NOMINA #24 JUDITH BEHAR QUIÑONES  </t>
  </si>
  <si>
    <t>NOMINA #24 ALFONSO AGUILAR AGUIRRE</t>
  </si>
  <si>
    <t>LAVADO DE CARRO VEA NOTA "ECOWASH" (23/06/2018)</t>
  </si>
  <si>
    <t>NOMINA #25 CEDIS</t>
  </si>
  <si>
    <t xml:space="preserve">NOMINA #25 JUDITH BEHAR QUIÑONES  </t>
  </si>
  <si>
    <t>NOMINA #25 ALFONSO AGUILAR AGUIRRE</t>
  </si>
  <si>
    <t>NOMINA #26 CEDIS</t>
  </si>
  <si>
    <t xml:space="preserve">NOMINA #26 JUDITH BEHAR QUIÑONES  </t>
  </si>
  <si>
    <t>NOMINA #26 ALFONSO AGUILAR AGUIRRE</t>
  </si>
  <si>
    <t>EVENTO 27 DE JUNIO 2018 NOMINA #26 CARLOS SEDANO CEDIS</t>
  </si>
  <si>
    <t>EVENTO 27 DE JUNIO 2018 NOMINA #26 AIDA HERNÁNDEZ CEDIS</t>
  </si>
  <si>
    <t>EVENTO 27 DE JUNIO 2018 NOMINA #26 JULIO CESAR JIMENEZ CEDIS</t>
  </si>
  <si>
    <t>EVENTO 27 DE JUNIO 2018 NOMINA #26 ESTHELA LOPEZ CEDIS</t>
  </si>
  <si>
    <t>EVENTO 27 DE JUNIO 2018 NOMINA #26 RAFAEL MEDINA CEDIS</t>
  </si>
  <si>
    <t>EVENTO 27 DE JUNIO 2018 NOMINA #26 IAN RUIZ HERNÁNDEZ CEDIS</t>
  </si>
  <si>
    <t>EVENTO 27 DE JUNIO 2018 NOMINA #26 ANA ROCIO CEDIS</t>
  </si>
  <si>
    <t>VALE DE CAJA APOYO CREDITO CELULAR RAFAEL MEDINA FACT/</t>
  </si>
  <si>
    <t>PAGO PROVEEDOR RAYA (PAGO PRESTAMO CERVECERIA) (REMISION 59430 9 MAYO 16)</t>
  </si>
  <si>
    <t>NOMINA #31 INGLATERRA</t>
  </si>
  <si>
    <t>NOMINA #31TEPEYAC</t>
  </si>
  <si>
    <t>NOMINA #31 PALOMAR</t>
  </si>
  <si>
    <t>FACT/ ARCFA0008069 PASTELERIA MARISA, PASTEL CUMPLEAÑOS KARLA HERNANDEZ AUTORIZO LIC JOSE LANGARICA</t>
  </si>
  <si>
    <t>13/08/2018</t>
  </si>
  <si>
    <t>NOMINA #32 INGLATERRA</t>
  </si>
  <si>
    <t>NOMINA #32 TEPEYAC</t>
  </si>
  <si>
    <t>NOMINA #32 PALOMAR</t>
  </si>
  <si>
    <t>ESPECIAS "ELIZABETH VARGAS PEÑALOZA" NOTA 3888 (03/08/2018)</t>
  </si>
  <si>
    <t xml:space="preserve">APOYO MEDICAMENTO ELIZABETH CAMPECHANO SUC INGLATERRA  </t>
  </si>
  <si>
    <t>VALE APOYO MEDICAMENTO PAOLA RAMIREZ SUC TEPEYAC</t>
  </si>
  <si>
    <t>20/08/2018</t>
  </si>
  <si>
    <t>NOMINA #33 PALOMAR</t>
  </si>
  <si>
    <t>BACTERICIDA SAMS NOTA 936573434591621020625 (04/08/2018)</t>
  </si>
  <si>
    <t>NOMINA #33 INGLATERRA</t>
  </si>
  <si>
    <t>NOMINA #33 TEPEYAC</t>
  </si>
  <si>
    <t>27/08/2018</t>
  </si>
  <si>
    <t>NOMINA #34 PALOMAR</t>
  </si>
  <si>
    <t>CHILE CHIPOTLE FOLIO 42461 "CREMERIA LOLITA" (04/08/2018)</t>
  </si>
  <si>
    <t>NOMINA #34 INGLATERRA</t>
  </si>
  <si>
    <t>NOMINA #34 TEPEYAC</t>
  </si>
  <si>
    <t>21/08/2018</t>
  </si>
  <si>
    <t>FRIJOL SIN VALE DE CAJA</t>
  </si>
  <si>
    <t>JITOMATE DE SEGUNDA NOTA (04/08/2018)</t>
  </si>
  <si>
    <t>COMPLEMENTO DE NOMINA #31 ERNESTO VALE DE CAJA</t>
  </si>
  <si>
    <t>RECOLECCION DE BASURA SEMANA 13 AL 26 DE AGOSTO 2018</t>
  </si>
  <si>
    <t>CONSUME DE POLLO TICKET SORIANA</t>
  </si>
  <si>
    <t>PAGO PROVEEDOR GRUPO INDUSTRIAL Y COMERCIAL NAVARRO SA DE CV FACT/48692 (02/08/2018)</t>
  </si>
  <si>
    <t>COMPLEMENTO DE NOMINA #32 LAURA ARECHIGA VALE DE CAJA</t>
  </si>
  <si>
    <t>31/08/2018</t>
  </si>
  <si>
    <t>PAGO PROVEEDOR GRUPO INDUSTRIAL Y COMERCIAL NAVARRO SA DE CV FACT/48693 (02/08/2018)</t>
  </si>
  <si>
    <t>COMPLEMENTO DE NOMINA #33 LUZ MARIA VALE DE CAJA</t>
  </si>
  <si>
    <t>VALE DE CAJA LIMON (IAN HERNANDEZ EXTRAVIO NOTA)</t>
  </si>
  <si>
    <t>COMPLEMENTO NOMINA #34 ELIZABETH CAMPECHANO VALE DE CAJA</t>
  </si>
  <si>
    <t>NOMINA #31 CEDIS</t>
  </si>
  <si>
    <t>COMPLEMENTO NOMINA #34 OSCAR BARRAGAN VALE DE CAJA</t>
  </si>
  <si>
    <t xml:space="preserve">NOMINA #31 JUDITH BEHAR QUIÑONES  </t>
  </si>
  <si>
    <t>UBER VICTOR SIN VALE DE CAJA</t>
  </si>
  <si>
    <t>NOMINA #31 ALFONSO AGUILAR AGUIRRE</t>
  </si>
  <si>
    <t>FACT 16967 "HUMBERTO GONZALEZ REYES" (PIEZAS PARA REPARAR EL BAÑO) SIN VALE DE CAJA</t>
  </si>
  <si>
    <t>RODRIGO MESTAS TDC  AMERICAN EXPRESS  VTO.  01/08/18</t>
  </si>
  <si>
    <t>RENTA RODRIGO MESTAS GALLARDO AGOSTO 2018</t>
  </si>
  <si>
    <t>CUADERNO GABRIEL PONCE "OPERADORA OMX SA DE CV" FACT/OOM960429832</t>
  </si>
  <si>
    <t>BAJA DE PLACAS CARRO CEDIS FOLIO EC5005981352 (TRANSITO)</t>
  </si>
  <si>
    <t>NOMINA #32 CEDIS</t>
  </si>
  <si>
    <t xml:space="preserve">NOMINA #32 JUDITH BEHAR QUIÑONES  </t>
  </si>
  <si>
    <t>NOMINA #32 ALFONSO AGUILAR AGUIRRE</t>
  </si>
  <si>
    <t>APOYO MEDICAMENTO AIDA HERNANDEZ SUC CEDIS  (FACT A002376)</t>
  </si>
  <si>
    <t>FOCOS SUCURSALES FACT/A44990 "DECORA ILUMINACION SA DE CV" (14/08/2018)</t>
  </si>
  <si>
    <t>EMPAQUE CEDIS FACT/LP218612 " MAGNETOS Y REFACCIONES SA DE CV" (14/08/2018)</t>
  </si>
  <si>
    <t>TOPPER FACT/E50039 "PLASTICAJAS DE OCCIDENTE" (15/08/2018)</t>
  </si>
  <si>
    <t>MEDICAMENTO PARA BOTIQUIN SUCURSALES FACT/FJCCC5745 "FARMACIAS SIMILARES" (15/08/2018)</t>
  </si>
  <si>
    <t>NOMINA #33 CEDIS</t>
  </si>
  <si>
    <t xml:space="preserve">NOMINA #33 JUDITH BEHAR QUIÑONES  </t>
  </si>
  <si>
    <t>NOMINA #33 ALFONSO AGUILAR AGUIRRE</t>
  </si>
  <si>
    <t>VALE DE CAJA (REPACIÓN FUGA DE AGUA BAÑOS HOMBRES) CARLOS SEDANO (24/08/2018)</t>
  </si>
  <si>
    <t>VALE DE CAJA (REPARACION DE MIJITORIO SUC INGLATERRA) 23/08/2018 CARLOS SEDANO</t>
  </si>
  <si>
    <t>PAQUETERIA Y MENSAJERIA FLECHA AMARILLA NOTA 3873828 (ENTREGA DE VASOS CAFÉ)</t>
  </si>
  <si>
    <t>PARCHADO DE LLANTA CARRO CEDIS (27/08/2018)</t>
  </si>
  <si>
    <t>NOMINA #34 CEDIS</t>
  </si>
  <si>
    <t xml:space="preserve">NOMINA #34 JUDITH BEHAR QUIÑONES  </t>
  </si>
  <si>
    <t>NOMINA #34 ALFONSO AGUILAR AGUIRRE</t>
  </si>
  <si>
    <t xml:space="preserve">APOYO MEDICAMENTO AIDA HERNANDEZ SUC CEDIS  </t>
  </si>
  <si>
    <t>30/08/2018</t>
  </si>
  <si>
    <t>COMPLEMENTO ULTIMO PAGARE PROCESADORA DE CARNES DON TIMO</t>
  </si>
  <si>
    <t>APOYO CREDITO CELULAR RAFAEL MEDINA MES AGOSTO 2018 FACT/2</t>
  </si>
  <si>
    <t>NOMINA #35 CEDIS</t>
  </si>
  <si>
    <t>NOMINA #35 INGLATERRA</t>
  </si>
  <si>
    <t>NOMINA #35 TEPEYAC</t>
  </si>
  <si>
    <t>NOMINA #35 PALOMAR</t>
  </si>
  <si>
    <t xml:space="preserve">NOMINA #35 JUDITH BEHAR QUIÑONES  </t>
  </si>
  <si>
    <t>NOMINA #35 CARLOS RICO MARROQUIN</t>
  </si>
  <si>
    <t>NOMINA #35 ALFONSO AGUILAR AGUIRRE</t>
  </si>
  <si>
    <t>SIAPA SUC INGLATERRA (21 DE JULIO AL 22 AGOSTO 2018)</t>
  </si>
  <si>
    <t xml:space="preserve">ANUNCIO PERIODICO EL INFORMADOR FACT/UNO98742 (06/09/2018) SUC TEPEYAC </t>
  </si>
  <si>
    <t>NOMINA #36 PALOMAR</t>
  </si>
  <si>
    <t>PAGO PROVEEDOR RAYA (REMISION 60763 10 JUNIO 16)</t>
  </si>
  <si>
    <t>NOMINA #36 TEPEYAC</t>
  </si>
  <si>
    <t>17/09/2018</t>
  </si>
  <si>
    <t>NOMINA #37 PALOMAR</t>
  </si>
  <si>
    <t>PAGO PROVEEDOR PROCESADORA DE CARNES DON TIMO (NVG0164 04 AGOSTO 15)</t>
  </si>
  <si>
    <t>ANUNCIO PERIODICO EL INFORMADOR FACT/UNO98742 (06/09/2018) SUC INGLATERRA</t>
  </si>
  <si>
    <t>14/09/2018</t>
  </si>
  <si>
    <t>AGUA POTABLE * RESIDENTE DE CHAPALITA (CONSUMO JULIO-AGOSTO 2018)(FOLIO 79580)</t>
  </si>
  <si>
    <t>NOMINA #38 PALOMAR</t>
  </si>
  <si>
    <t>RECARGA DE CARTUCHO CEDIS FACT A4959 "CARTUCHOS Y CONSUMIBLES DATAN S DE RL DE CV" (10/09/2018)</t>
  </si>
  <si>
    <t>NOMINA #36 INGLATERRA</t>
  </si>
  <si>
    <t>NOMINA #36 COMPLEMENTO MARIANA LIZETH SUC TEPEYAC</t>
  </si>
  <si>
    <t>NOMINA #39 PALOMAR</t>
  </si>
  <si>
    <t>NOMINA #36 CEDIS</t>
  </si>
  <si>
    <t>NOMINA #36 PRESTAMO CARLOS RICO MARROQUIN AUTORIZO RODRIGO MESTAS</t>
  </si>
  <si>
    <t>NOMINA #37 TEPEYAC</t>
  </si>
  <si>
    <t>COMPLEMENTO DE NOMINA #35 BRAYAN ALEXIS VALE DE CAJA</t>
  </si>
  <si>
    <t xml:space="preserve">NOMINA #36 JUDITH BEHAR QUIÑONES  </t>
  </si>
  <si>
    <t>NOMINA #36 APOYO MEDICAMENTO LIZBETH ROXANA SUC INGLATERRA</t>
  </si>
  <si>
    <t>NOMINA #38 TEPEYAC</t>
  </si>
  <si>
    <t>27/09/2018</t>
  </si>
  <si>
    <t>COMPLEMENTO NOMINA #38 JAIME MURILLO CASTRO</t>
  </si>
  <si>
    <t>NOMINA #36 ALFONSO AGUILAR AGUIRRE</t>
  </si>
  <si>
    <t>NOMINA #36 COMPLEMENTO INCAPACIDAD OSCAR BARRAGAN SUC INGLATERRA</t>
  </si>
  <si>
    <t>FINIQUITO LABORAL "ERNESTO GUADALUPE RODRIGUEZ LOPEZ" SUC TEPEYAC (28/09/2018)</t>
  </si>
  <si>
    <t>RENTA RODRIGO MESTAS GALLARDO SEPTIEMBRE 2018</t>
  </si>
  <si>
    <t>NOMINA #37 INGLATERRA</t>
  </si>
  <si>
    <t>NOMINA #39 TEPEYAC</t>
  </si>
  <si>
    <t>TENAZAS, PALILLEROS, CUCHARAS NOTA (15/09/2018)</t>
  </si>
  <si>
    <t>NOMINA #38 INGLATERRA</t>
  </si>
  <si>
    <t>RECOLECCION DE BASURA SEMANA 27 DE AGOSTO AL 9 DE SEPTIEMBRE 2018</t>
  </si>
  <si>
    <t>CHAROLA DE GALLETAS PARA CAPACITACION 10 SEPTIEMBRE ENCARGADOS SUCURSALES FACT/CHAFA8285 "MARISA" (12/09/2018)</t>
  </si>
  <si>
    <t>NOMINA #39 INGLATERRA</t>
  </si>
  <si>
    <t>IMPRESIONES COLOR CARTA JUDITH FACT/14379486 "OFFICEMAX" (07/09/2018)</t>
  </si>
  <si>
    <t>NOMINA #39 CARLOS RICO (AUMENTO MENSUAL MES SEPTIEMBRE)</t>
  </si>
  <si>
    <t>NOMINA #37 CEDIS</t>
  </si>
  <si>
    <t>COMPLEMENTO NOMINA #35 DIANA VALE DE CAJA</t>
  </si>
  <si>
    <t xml:space="preserve">NOMINA #37 JUDITH BEHAR QUIÑONES  </t>
  </si>
  <si>
    <t>NOMINA #37 ALFONSO AGUILAR AGUIRRE</t>
  </si>
  <si>
    <t>GASTO NO IDENTIFICADO</t>
  </si>
  <si>
    <t>AZUCAR CAPACITACION ENCARGADOS SUCURSALES</t>
  </si>
  <si>
    <t>UBER ALAN REYNOSO  SIN VALE DE CAJA</t>
  </si>
  <si>
    <t>21/09/2018</t>
  </si>
  <si>
    <t>TICKET GASOLINA "GASOLINERA REMUS ) NOTA E10277 (18/09/2018)</t>
  </si>
  <si>
    <t>29/09/2018</t>
  </si>
  <si>
    <t>DEVOLUCIÓN A CLIENTE (SE COBRO DE MAS) VALE DE CAJA</t>
  </si>
  <si>
    <t>VALE DE CAJA CARLOS SEDANO REPARACIÓN PARRILLA</t>
  </si>
  <si>
    <t>TENEDORES NOTA (22/09/2018)</t>
  </si>
  <si>
    <t>CUCHILLOS NOTA7840 "PLASTICO Y LAMINA" (22/09/2018)</t>
  </si>
  <si>
    <t>FINIQUITO LABORAL "MARIA ESTHELA LOPEZ PLATA" SUC CEDIS</t>
  </si>
  <si>
    <t>PAPELERIA OFICINA FACT/POSE51483054 "OFFICE DEPOT) (19/09/2018)</t>
  </si>
  <si>
    <t>PRESTAMO JULIO CESAR (CEDIS)</t>
  </si>
  <si>
    <t xml:space="preserve">COMPLEMENTO PROVEEDORES DISTRIBUIDORA DE LACTEOS( FOLIO 096-087) (03-07 SEPTIEMBRE 18) </t>
  </si>
  <si>
    <t>PRESTAMO BELINDA FIGUEROA VAZQUEZ SUC TEPEYAC (21/09/2018)</t>
  </si>
  <si>
    <t>NOMINA #38 CEDIS</t>
  </si>
  <si>
    <t xml:space="preserve">NOMINA #38 JUDITH BEHAR QUIÑONES  </t>
  </si>
  <si>
    <t>NOMINA #38 ALFONSO AGUILAR AGUIRRE</t>
  </si>
  <si>
    <t xml:space="preserve">VALE DE CAJA "APOYO CELULAR MENSUALIDAD AGOSTO/SEPTIEMBRE GABRIEL PONCE </t>
  </si>
  <si>
    <t>CHAROLAS TICKET "EVELIA ESPINOZA VACA" (29/09/2018)</t>
  </si>
  <si>
    <t>CERVEZA PACIFICO TICKET "COMERCIALIZADOR DEPOSITO EL VALOR SA DDE CV " (29/09/2018)</t>
  </si>
  <si>
    <t>APOYO CREDITO CELULAR RAFAEL MEDINA MES SEPTIEMBRE TICKET "FARMACIAS GUADALAJARA" (29/09/2018)</t>
  </si>
  <si>
    <t>NOMINA #39 CEDIS</t>
  </si>
  <si>
    <t xml:space="preserve">NOMINA #39 JUDITH BEHAR QUIÑONES  </t>
  </si>
  <si>
    <t>NOMINA #39 ALFONSO AGUILAR AGUIRRE</t>
  </si>
  <si>
    <t>EMBUTIDOS CORONA FOLIO G1611047 (CHORIZO)(04/10/2018)</t>
  </si>
  <si>
    <t>TORTILLA NOTA (05/10/2018)</t>
  </si>
  <si>
    <t>VALE DE CAJA PAGO BASURA SEMANA 01 AL 07 OCTUBRE 2018</t>
  </si>
  <si>
    <t>TORTILLAS TACOS DORADOS PEPE´S NOTA (05/10/2018)</t>
  </si>
  <si>
    <t xml:space="preserve">FOLIO 726937 GAS LOS ALTOSS </t>
  </si>
  <si>
    <t>FLAN DOLCE FLAN REMISION 17955 (04/10/2018)</t>
  </si>
  <si>
    <t>MAIZ PARA POZOLE NOTA (02/10/2018)</t>
  </si>
  <si>
    <t>TOSTADAS, RASPADAS NOTA "TOSTADAS MARU" (02/10/2018)</t>
  </si>
  <si>
    <t>TORTILLAS ROJA, SOPES, TORTILLA TACO NOTA "STA TERESITA" (02/10/2018)</t>
  </si>
  <si>
    <t>GASOLINA NOTA #200501</t>
  </si>
  <si>
    <t>VALE DE CAJA AFILADO DE CUCHILLOS (01/10/2018)</t>
  </si>
  <si>
    <t>VALE DE CAJA REPARACIÓN LICUADORA RODRIGO MESTAS (01/10/2018)</t>
  </si>
  <si>
    <t>PARCHES LLANTA CARRO CEDIS NOTA 5446 (06/10/2018)</t>
  </si>
  <si>
    <t>DULCE REMISION NV221.248 (02/10/2018)</t>
  </si>
  <si>
    <t>LIMON NOTA (02/10/2018)</t>
  </si>
  <si>
    <t>JITOMATE DE SEGUNDA NOTA (02/10/2018)</t>
  </si>
  <si>
    <t>NARANJA TICKET (02/10/2018)</t>
  </si>
  <si>
    <t>SIAPA SUC INGLATERRA (23 AGOSTO - 20 SEPTIEMBRE 2018)</t>
  </si>
  <si>
    <t>PAGO PROVEEDOR GRUPO INDUSTRIAL Y COMERCIAL NAVARRO SA DE CV FACT/55161 (01/10/2018)</t>
  </si>
  <si>
    <t>MEJORANA NOTA 1802</t>
  </si>
  <si>
    <t>LIMON NOTA (05/10/2018)</t>
  </si>
  <si>
    <t>JITOMATE DE SEGUNDA NOTA (05/10/2018)</t>
  </si>
  <si>
    <t>ANUNCIO PERIODICO EL INFORMADOR FACT/UNO99220 (03/10/2018) SUC INGLATERRA</t>
  </si>
  <si>
    <t>NOMINA #09 CEDIS</t>
  </si>
  <si>
    <t xml:space="preserve">NOMINA #09 JUDITH BEHAR QUIÑONES  </t>
  </si>
  <si>
    <t>NOMINA #09 INGLATERRA</t>
  </si>
  <si>
    <t>NOMINA #09 TEPEYAC</t>
  </si>
  <si>
    <t>NOMINA #09 PALOMAR</t>
  </si>
  <si>
    <t>PAGO DOMINIO TORTASAHOGADAS.MX</t>
  </si>
  <si>
    <t>FINIQUITO AMAIRANI MEDRANO ZARATE SUC INGLATERRA</t>
  </si>
  <si>
    <t>NOMINA #10 TEPEYAC</t>
  </si>
  <si>
    <t>COMPLEMENTO NOMINA #9 JAIME MURILLO VALE DE CAJA</t>
  </si>
  <si>
    <t>ANUNCIO PERIODICO EL INFORMADOR FACT/UNO95760</t>
  </si>
  <si>
    <t>COMPLEMENTO NOMINA #9 CARLOS RICO</t>
  </si>
  <si>
    <t>COMPLEMENTO NOMINA #10 IVONNE VALE DE CAJA</t>
  </si>
  <si>
    <t>COMPLEMENTO NOMINA #9 FERNANDO FRANCO FLORES VALE DE CAJA</t>
  </si>
  <si>
    <t>RENTA RODRIGO MESTAS GALLARDO MARZO 2018</t>
  </si>
  <si>
    <t>NOMINA #10 INGLATERRA</t>
  </si>
  <si>
    <t>19/03/2018</t>
  </si>
  <si>
    <t>NOMINA #11 TEPEYAC</t>
  </si>
  <si>
    <t>LICENCIA MUNICIPAL NO.25138 SUC PALOMAR 2018 (PL-8732)</t>
  </si>
  <si>
    <t>NOMINA #10 CEDIS</t>
  </si>
  <si>
    <t>COMPLEMENTO NOMINA #10 ERNESTO GUADALUPE</t>
  </si>
  <si>
    <t>AGUA POTABLE * RESIDENTE DE CHAPALITA (CONSUMO FEBRERO)(FOLIO 77509)</t>
  </si>
  <si>
    <t>NOMINA #10 PALOMAR</t>
  </si>
  <si>
    <t xml:space="preserve">NOMINA #10 JUDITH BEHAR QUIÑONES  </t>
  </si>
  <si>
    <t>FINIQUITO MARCOS LEONARDO MICHEL SUC INGLATERRA</t>
  </si>
  <si>
    <t>NOMINA #12 TEPEYAC</t>
  </si>
  <si>
    <t>NOMINA #11 PALOMAR</t>
  </si>
  <si>
    <t>FOCOS SUCURSAL FACT/F1FC611855 "ELECTRICA VARIEDADES DE GUADALAJARA SA DE CV"</t>
  </si>
  <si>
    <t>FINIQUITO LILIANA FRANCISCA ANTONIO HERNÁNDEZ SUC INGLATERRA</t>
  </si>
  <si>
    <t>30/03/2018</t>
  </si>
  <si>
    <t>NOMINA #12 PALOMAR</t>
  </si>
  <si>
    <t>TARROS Y PLATOS FACT/K6425 "CRISTALERIA LA UNICA SA DE CV</t>
  </si>
  <si>
    <t>16/03/2018</t>
  </si>
  <si>
    <t>TICKET NO COBRADO (NO SE ENTREGO COMIDA A DOMICILIO)</t>
  </si>
  <si>
    <t>15/03/2018</t>
  </si>
  <si>
    <t>CRÉDITO CELULAR   MARZO/18  RAFAEL MEDINA  FACT/AAH0122803</t>
  </si>
  <si>
    <t>NOMINA #11 INGLATERRA</t>
  </si>
  <si>
    <t>NOMINA #11 OSCAR BARRAGAN</t>
  </si>
  <si>
    <t>NOMINA #11 CEDIS</t>
  </si>
  <si>
    <t>APOYO CARRO CARLOS RICO</t>
  </si>
  <si>
    <t xml:space="preserve">NOMINA #11 JUDITH BEHAR QUIÑONES  </t>
  </si>
  <si>
    <t>COMPLEMENTO NOMINA #11 ROXANA VALE DE CAJA</t>
  </si>
  <si>
    <t>NOMINA #11 ALFONSO AGUILAR AGUIRRE</t>
  </si>
  <si>
    <t>NOMINA #12 INGLATERRA</t>
  </si>
  <si>
    <t>ANUNCIO PERIODICO EL INFORMADOR FACT/UNO95964</t>
  </si>
  <si>
    <t>NOMINA #12 OSCAR BARRAGAN</t>
  </si>
  <si>
    <t>VOLANTES NOTA "AMATEDITORIAL"</t>
  </si>
  <si>
    <t>NOMINA #12 CEDIS</t>
  </si>
  <si>
    <t xml:space="preserve">NOMINA #12 JUDITH BEHAR QUIÑONES  </t>
  </si>
  <si>
    <t>NOMINA #12 ALFONSO AGUILAR AGUIRRE</t>
  </si>
  <si>
    <t>FINIQUITO VANESSA GUADALUPE GUTIERREZ GARCÍA CEDIS</t>
  </si>
  <si>
    <t>DISTRIBUIDORA ARCA CONTINENTAL FACT/E91B81</t>
  </si>
  <si>
    <t>CRÉDITO CELULAR   MARZO/18  GABRIEL PONCE</t>
  </si>
  <si>
    <t>UBER RODRIGO MESTAS (SIN FACTURA)(AUTORIZADO LIC. JOSE LANGARICA)</t>
  </si>
  <si>
    <t>NOMINA #01 INGLATERRA</t>
  </si>
  <si>
    <t>NOMINA #01 TEPEYAC</t>
  </si>
  <si>
    <t>NOMINA #01 PALOMAR</t>
  </si>
  <si>
    <t>SIAPA SUC INGLATERRA (23 NOV-20 DIC)</t>
  </si>
  <si>
    <t>15/01/2018</t>
  </si>
  <si>
    <t>NOMINA #02 INGLATERRA</t>
  </si>
  <si>
    <t>NOMINA #02 TEPEYAC</t>
  </si>
  <si>
    <t>NOMINA #02 PALOMAR</t>
  </si>
  <si>
    <t>NOMINA #01 CEDIS</t>
  </si>
  <si>
    <t>FINIQUITO ROSA LIRA GALLEGOS SUC INGLATERRA</t>
  </si>
  <si>
    <t>22/01/2018</t>
  </si>
  <si>
    <t>NOMINA #03 TEPEYAC</t>
  </si>
  <si>
    <t>NOMINA #03 PALOMAR</t>
  </si>
  <si>
    <t>APOYO TAXI POR DÍA FESTIVO AIDA HERNÁNDEZ CEDIS</t>
  </si>
  <si>
    <t>NOMINA #03 INGLATERRA</t>
  </si>
  <si>
    <t>AGUA POTABLE * RESIDENTE DE CHAPALITA (CONSUMO DICIEMBRE)(FOLIO 76874)</t>
  </si>
  <si>
    <t>ANUNCIO UNION EDITORIAL SA DE CV FACT/UN95087</t>
  </si>
  <si>
    <t>APOYO TAXI POR DÍA FESTIVO MARY CARMEN CEDIS</t>
  </si>
  <si>
    <t>MICROONDAS WHIRLPOOL SUC INGLATERRA (NOTA 567,578)(FACT/XI10016)</t>
  </si>
  <si>
    <t>29/01/2018</t>
  </si>
  <si>
    <t>NOMINA #04 PALOMAR</t>
  </si>
  <si>
    <t>APOYO TAXI POR DÍA FESTIVO ESTHELA LOPEZ CEDIS</t>
  </si>
  <si>
    <t>NOMINA #04 TEPEYAC</t>
  </si>
  <si>
    <t>FOLIO 666928 GAS LOS ALTOSS VALE DE CAJA</t>
  </si>
  <si>
    <t>CRÉDITO CELULAR  ENERO/18  GABRIEL  PONCE  PÉREZ</t>
  </si>
  <si>
    <t>LICUADORA SUC INGLATERRA FACT/L25086 (CRISTALERIA LA UNICA)</t>
  </si>
  <si>
    <t>FOLIO 666952 GAS LOS ALTOSS VALE DE CAJA</t>
  </si>
  <si>
    <t>FOLIO 681833 GAS LOS ALTOSS VALE DE CAJA</t>
  </si>
  <si>
    <t>CRÉDITO CELULAR   ENERO/18  RAFAEL MEDINA  FACT AAH0120980</t>
  </si>
  <si>
    <t>NOMINA #04 INGLATERRA</t>
  </si>
  <si>
    <t>COMPLEMENTO NOMINA #1 EDGAR MENDEZ</t>
  </si>
  <si>
    <t>FOLIO 666908 GAS LOS ALTOSS VALE DE CAJA</t>
  </si>
  <si>
    <t>BONO POSTRES DICIEMBRE</t>
  </si>
  <si>
    <t>FOLIO 677595 GAS LOS ALTOSS VALE DE CAJA</t>
  </si>
  <si>
    <t>COMPLEMENTO NOMINA #1 OSCAR BARRAGAN</t>
  </si>
  <si>
    <t>FOLIO 668391 GAS LOS ALTOS VALE DE CAJA</t>
  </si>
  <si>
    <t>FOLIO 666910 GAS LOS ALTOSS VALE DE CAJA</t>
  </si>
  <si>
    <t>FOLIO 683469 GAS LOS ALTOSS VALE DE CAJA</t>
  </si>
  <si>
    <t>COMPLEMENTO NOMINA #4 NOEMI</t>
  </si>
  <si>
    <t>RENTA RODRIGO MESTAS GALLARDO ENERO 2018</t>
  </si>
  <si>
    <t>COMPLEMENTO NOMINA #1 ALEJANDRO JARA</t>
  </si>
  <si>
    <t>20/01/2018</t>
  </si>
  <si>
    <t>FOLIO 675587 GAS LOS ALTOSS VALE DE CAJA</t>
  </si>
  <si>
    <t>NOMINA #02 CEDIS</t>
  </si>
  <si>
    <t>FOLIO 678650 GAS LOS ALTOSS VALE DE CAJA</t>
  </si>
  <si>
    <t>COMPLEMENTO NOMINA #3 IVONNE</t>
  </si>
  <si>
    <t xml:space="preserve">NOMINA #02 JUDITH BEHAR QUIÑONES  </t>
  </si>
  <si>
    <t>FOLIO 678999 GAS LOS ALTOSS VALE DE CAJA</t>
  </si>
  <si>
    <t>27/01/2018</t>
  </si>
  <si>
    <t>FOLIO 672580 GAS LOS ALTOSS VALE DE CAJA</t>
  </si>
  <si>
    <t>NOMINA #03 CEDIS</t>
  </si>
  <si>
    <t>RENTA DE LOCAL VALE DE CAJA</t>
  </si>
  <si>
    <t xml:space="preserve">NOMINA #03 JUDITH BEHAR QUIÑONES  </t>
  </si>
  <si>
    <t>COMPLEMENTO RENTA DE LOCAL VALE DE CAJA</t>
  </si>
  <si>
    <t>FINIQUITO ALDO CRUZ SANDOVAL CEDIS</t>
  </si>
  <si>
    <t>FOLIO 666931 GAS LOS ALTOSS VALE DE CAJA</t>
  </si>
  <si>
    <t>PAPELERIA CEDIS Y OFICINA (FACT/POSE/46191671)</t>
  </si>
  <si>
    <t>FOLIO 675581 GAS LOS ALTOSS VALE DE CAJA</t>
  </si>
  <si>
    <t>TARJETA DE CREDITO PREMIER COMPLEMENTO</t>
  </si>
  <si>
    <t>FOLIO 668316 GAS LOS ALTOSS VALE DE CAJA</t>
  </si>
  <si>
    <t>LICUADORA CEDIS FACT/L25087 (CRISTALERIA LA UNICA)</t>
  </si>
  <si>
    <t>FOLIO 678616 GAS LOS ALTOSS VALE DE CAJA</t>
  </si>
  <si>
    <t>NOMINA #04 CEDIS</t>
  </si>
  <si>
    <t>FOLIO 669064 GAS LOS ALTOSS VALE DE CAJA</t>
  </si>
  <si>
    <t xml:space="preserve">NOMINA #04 JUDITH BEHAR QUIÑONES  </t>
  </si>
  <si>
    <t>RODRIGO MESTAS PAGO TARJETA DE CREDITO AMERICAN EXPRESS COMPLEMENTO</t>
  </si>
  <si>
    <t xml:space="preserve">RODRIGO MESTAS COMPLEMENTO PAGO TARJETA DE CREDITO FREE </t>
  </si>
  <si>
    <t>Fecha</t>
  </si>
  <si>
    <t>Beneficiario</t>
  </si>
  <si>
    <t>Importe</t>
  </si>
  <si>
    <t>concepto</t>
  </si>
  <si>
    <t>05/10/2018</t>
  </si>
  <si>
    <t>TRASPASO ENTRE CUENTAS A CUENTA DE AGUINALDOS 2018</t>
  </si>
  <si>
    <t>31/10/2018</t>
  </si>
  <si>
    <t>01/10/2018</t>
  </si>
  <si>
    <t>MANTENIMIENTO EQ TRANSP GASOLINA TRO FACT AE11032</t>
  </si>
  <si>
    <t>03/10/2018</t>
  </si>
  <si>
    <t>SERVICIO DE REPARTO FACT 1233 SEMANA 8 AL 14 DE OCTUBRE 18</t>
  </si>
  <si>
    <t>CAFE CONSUMOS TRO FACT A1018</t>
  </si>
  <si>
    <t>MANEJO DE REDES SOCIALES FACT C817811 MENSUALIDAD SEPTIEMBRE</t>
  </si>
  <si>
    <t>10/10/2018</t>
  </si>
  <si>
    <t>LUZ PALOMAR (22 AGOSTO - 26 SEPTIEMBRE 2018)</t>
  </si>
  <si>
    <t>DESARROLLO DE FRANQUICIAS MENSUALIDAD OCTUBRE 2018 FACT 1625</t>
  </si>
  <si>
    <t>REPARACION  REFRIGERADOR CHAPALITA FACT D71022 TRO</t>
  </si>
  <si>
    <t>IMPUESTOS 2% S/NOMINA MES SEPTIEMBRE TRO</t>
  </si>
  <si>
    <t>08/10/2018</t>
  </si>
  <si>
    <t>04/10/2018</t>
  </si>
  <si>
    <t>REPARACION Y MANTENIMENTO EQS TRO REFRIGERADOR SUC TEPEYAC FACT 511</t>
  </si>
  <si>
    <t>15/10/2018</t>
  </si>
  <si>
    <t xml:space="preserve">RENTA LOCAL TRO PALOMAR </t>
  </si>
  <si>
    <t>TELEFONO SUC TEPEYAC MES FACTURADO SEPTIEMBRE</t>
  </si>
  <si>
    <t>17/10/2018</t>
  </si>
  <si>
    <t xml:space="preserve">ROTULOS, VINILES Y MAS FACT CG18058 SUC PALOMAR </t>
  </si>
  <si>
    <t>MANTENIMIENTO EQ TRANSP GASOLINA TRO SEMANA 15 OCTUBRE 18</t>
  </si>
  <si>
    <t>LUZ TEPEYAC (31 JUL - 28 SEP 2018)</t>
  </si>
  <si>
    <t>25/10/2018</t>
  </si>
  <si>
    <t xml:space="preserve">ASEO Y LIMPIEZA TRO FACT A549 SUC PALOMAR </t>
  </si>
  <si>
    <t>TERCER MENSUALIDAD PAGO PRESTAMO TORTAS RO</t>
  </si>
  <si>
    <t>REPARACION  FACT 67389C REPARACION TELEVISION TEPEYAC</t>
  </si>
  <si>
    <t>24/10/2018</t>
  </si>
  <si>
    <t>PAPELERIA  FACT B13067 (ROLLOS  Y CINTAS DE IMPRESION SUCURSALES)</t>
  </si>
  <si>
    <t>18/10/2018</t>
  </si>
  <si>
    <t>PAPELERIA  FACT CFDI748 IMPRESORA TERMICA</t>
  </si>
  <si>
    <t>SUMA</t>
  </si>
  <si>
    <t>IMPUESTOS SEGURO SOCIAL  PERIODO SEPTIEMBRE 2018 TRO</t>
  </si>
  <si>
    <t>22/10/2018</t>
  </si>
  <si>
    <t>TZIVIAH TATEI LARRONDO RAMOS</t>
  </si>
  <si>
    <t>PUBLICIDAD CARTELES DE PROHIBIDO PERROS, TARJETAS ETC.</t>
  </si>
  <si>
    <t>PUBLICIDAD COMPLEMENTO DE PAGO FACT FA75EA3 (PENDONES, LETREROS VALE FOLIADO)</t>
  </si>
  <si>
    <t>CUARTO PAGO PRESTAMO IGNACIO MESTAS</t>
  </si>
  <si>
    <t>IMPUESTOS FEDERALES PERIODO SEPTIEMBRE TRO</t>
  </si>
  <si>
    <t>PAGO TARJETA JUDITH NOVENO PAGO TELEVISION INGLATERRA</t>
  </si>
  <si>
    <t>INVESTIGACION  DE MERCADOS FACT 1058</t>
  </si>
  <si>
    <t>SERVICIO DE REPARTO FACT 1279 SEMANA 15 AL 21 DE OCTUBRE 18</t>
  </si>
  <si>
    <t>MANTENIMIENTO EQ TRANSP TRO REPARACION CARRO CEDIS FACT A987</t>
  </si>
  <si>
    <t>TELEFONOS SUC INGLATERRA MES FACTURADO SEPTIEMBRE</t>
  </si>
  <si>
    <t xml:space="preserve">CAMARA NACIONAL DE COMERCIO Y SERVICIOS </t>
  </si>
  <si>
    <t>MEMBRESI ANUAL FACT FE232031 TORTAS RO</t>
  </si>
  <si>
    <t>SERVICIO DE REPARTO FACT 1320 (SEMANA 22 AL 28 DE OCTUBRE 2018)</t>
  </si>
  <si>
    <t xml:space="preserve">CAFE CONSUMOS TRO FACT A1029 </t>
  </si>
  <si>
    <t>SERVICIO DE REPARTO FACT 1354 (SEMANA 29 DE OCTUBRE AL 4 DE NOVIEMBRE )</t>
  </si>
  <si>
    <t>CAFE CONSUMOS TRO FACT A1024</t>
  </si>
  <si>
    <t>SERVICIO DE REPARTO FACT 1418 (SEMANA DEL 5 AL 11 DE NOVIEMBRE 2018)</t>
  </si>
  <si>
    <t>SISTEMA OSMOSIS INVERSA (AGUA) FACT 3262E MENSUALIDAD DE OCTUBRE 2018</t>
  </si>
  <si>
    <t>MANEJO DE REDES SOCIALES FACT A91 MENSUALIDAD DE OCTUBRE</t>
  </si>
  <si>
    <t>29/10/2018</t>
  </si>
  <si>
    <t>MANTENIMIENTO EQ TRANSP GASOLINA TRO FACT AE11619</t>
  </si>
  <si>
    <t>FUMIGACIONES FACT 1321 MENSUALIDAD OCTUBRE 2018</t>
  </si>
  <si>
    <t>MUSICA Y SONIDO FACT REP23498 MENSUALIDAD DE OCTUBRE 2018</t>
  </si>
  <si>
    <t>TOTAL</t>
  </si>
  <si>
    <t>NOMINA #40 INGLATERRA</t>
  </si>
  <si>
    <t>NOMINA #40 FERNANDO MICHEL RAMIREZ SUC INGLATERRA</t>
  </si>
  <si>
    <t>NOMINA #41 INGLATERRA</t>
  </si>
  <si>
    <t>FINIQUITO FIDEL VILLALOBOS JIMENEZ SUC INGLATERRA</t>
  </si>
  <si>
    <t>NOMINA #42 INGLATERRA</t>
  </si>
  <si>
    <t>NOMINA #42 INCAPACIDAD LETICIA MANCILLA ARECHIGA (18 DE OCTUBRE AL 14 E NOVIEMBRE)</t>
  </si>
  <si>
    <t xml:space="preserve">NOMINA #42 LETICIA MANCILLA ARECHIGA </t>
  </si>
  <si>
    <t>FINIQUITO JUAN IGNACIO NUÑEZ RUIZ-VELASCO SUC INGLATERRA</t>
  </si>
  <si>
    <t>NOMINA #43 INGLATERRA</t>
  </si>
  <si>
    <t>NOMINA #43 VACACIONES ALAN REYNOSO SOLIS SUC INGLATERRA</t>
  </si>
  <si>
    <t>COMPLEMENTO DE NOMINA #40 LUZ MARIA VALE DE CAJA</t>
  </si>
  <si>
    <t>NOMINA LUZ MARIA VALE DE CAJA</t>
  </si>
  <si>
    <t xml:space="preserve">CUENTA QUE SE MATO POR ERROR EN PALOMAR </t>
  </si>
  <si>
    <t>NOMINA #40 TEPEYAC</t>
  </si>
  <si>
    <t>NOMINA #41 TEPEYAC</t>
  </si>
  <si>
    <t>NOMINA #42 TEPEYAC</t>
  </si>
  <si>
    <t>NOMINA #43 TEPEYAC</t>
  </si>
  <si>
    <t>NOMINA #43 VACACIONES PAOLA RAMIREZ ESLAVA SUC TEPEYAC</t>
  </si>
  <si>
    <t>NOMINA #40 PALOMAR</t>
  </si>
  <si>
    <t>NOMINA #41 PALOMAR</t>
  </si>
  <si>
    <t>NOMINA #42 PALOMAR</t>
  </si>
  <si>
    <t>NOMINA #43 PALOMAR</t>
  </si>
  <si>
    <t>RENTA RODRIGO MESTAS GALLARDO OCTUBRE 2018</t>
  </si>
  <si>
    <t>PRESTAMO JULIO CESAR (CEDIS) MEDICAMENTO</t>
  </si>
  <si>
    <t>NOMINA #40 CEDIS</t>
  </si>
  <si>
    <t>NOMINA #40 CEDIS "GABRIEL PONCE PEREZ" CHEQUE 0845</t>
  </si>
  <si>
    <t>NOMINA #38 JUDITH BEHAR QUIÑONES  (RECUPERACIÓN POR ROBO)</t>
  </si>
  <si>
    <t xml:space="preserve">NOMINA #40 JUDITH BEHAR QUIÑONES  </t>
  </si>
  <si>
    <t>NOMINA #40 ALFONSO AGUILAR AGUIRRE</t>
  </si>
  <si>
    <t>PAGO SINDICATO 12 DOCE DICIEMBRE ANUALIDAD 2018</t>
  </si>
  <si>
    <t>PLATOS Y BANDEJAS FACT/K9783 "CRISTALERIA LA UNICA SA DE CV" (13/10/2018)</t>
  </si>
  <si>
    <t>NOMINA #41 CEDIS</t>
  </si>
  <si>
    <t>NOMINA #41 CEDIS "GABRIEL PONCE PEREZ" TRANSFERENCIA REF 247566</t>
  </si>
  <si>
    <t xml:space="preserve">NOMINA #41 JUDITH BEHAR QUIÑONES  </t>
  </si>
  <si>
    <t>NOMINA #41 ALFONSO AGUILAR AGUIRRE</t>
  </si>
  <si>
    <t>PAGO DE DOMINIO TARJETA RODRIGO MESTAS (PESA UNIF IT J)</t>
  </si>
  <si>
    <t>NOMINA #42 CEDIS</t>
  </si>
  <si>
    <t>NOMINA #42 CEDIS "GABRIEL PONCE PEREZ" TRANSFERENCIA REF 215756</t>
  </si>
  <si>
    <t xml:space="preserve">NOMINA #42 JUDITH BEHAR QUIÑONES  </t>
  </si>
  <si>
    <t>NOMINA #42 ALFONSO AGUILAR AGUIRRE</t>
  </si>
  <si>
    <t xml:space="preserve">COMPLEMENTO RO TDC CITI PREMIER </t>
  </si>
  <si>
    <t>VALE DE CAJA PRESTAMO JULIO CESAR  (23/10/2018)</t>
  </si>
  <si>
    <t>LLANTA CARRO CEDIS ATOS "PEDRO ALEJANDRO GONZALEZ"" FACT/3093</t>
  </si>
  <si>
    <t>NOMINA #43 CEDIS</t>
  </si>
  <si>
    <t>NOMINA #43 CEDIS "GABRIEL PONCE PEREZ" TRANSFERENCIA REF 2816601</t>
  </si>
  <si>
    <t xml:space="preserve">NOMINA #43 JUDITH BEHAR QUIÑONES  </t>
  </si>
  <si>
    <t>NOMINA #43 ALFONSO AGUILAR AGUIRRE</t>
  </si>
  <si>
    <t>06/11/2018</t>
  </si>
  <si>
    <t>05/11/2018</t>
  </si>
  <si>
    <t>07/11/2018</t>
  </si>
  <si>
    <t>LUZ PALOMAR PERIODO FACTURADO 26 SEP AL 24 DE OCTUBRE 2018</t>
  </si>
  <si>
    <t>12/11/2018</t>
  </si>
  <si>
    <t>16/11/2018</t>
  </si>
  <si>
    <t>21/11/2018</t>
  </si>
  <si>
    <t>ASEO Y LIMPIEZA TRO LIPIAGRASAS SUC PALOMAR FACT A5829</t>
  </si>
  <si>
    <t>14/11/2018</t>
  </si>
  <si>
    <t>23/11/2018</t>
  </si>
  <si>
    <t>08/11/2018</t>
  </si>
  <si>
    <t>LUZ TRO INGLATERRA</t>
  </si>
  <si>
    <t>30/11/2018</t>
  </si>
  <si>
    <t>20/11/2018</t>
  </si>
  <si>
    <t>PAGO TARJETA JUDITH DECIMO PAGO TELEVISION INGLATERRA</t>
  </si>
  <si>
    <t>26/11/2018</t>
  </si>
  <si>
    <t>28/11/2018</t>
  </si>
  <si>
    <t>29/11/2018</t>
  </si>
  <si>
    <t>APOYO CREDITO CELULAR RAFAEL MEDINA MES OCTUBRE TICKET "FARMACIAS GUADALAJARA" (29/09/2018)</t>
  </si>
  <si>
    <t>NOMINA #44 CEDIS</t>
  </si>
  <si>
    <t xml:space="preserve">NOMINA #44 JUDITH BEHAR QUIÑONES  </t>
  </si>
  <si>
    <t>NOMINA #44 ALFONSO AGUILAR AGUIRRE</t>
  </si>
  <si>
    <t>RENTA RODRIGO MESTAS GALLARDO NOVIEMBRE 2018</t>
  </si>
  <si>
    <t>NOMINA #45 CEDIS</t>
  </si>
  <si>
    <t xml:space="preserve">NOMINA #45 JUDITH BEHAR QUIÑONES  </t>
  </si>
  <si>
    <t>NOMINA #45 ALFONSO AGUILAR AGUIRRE</t>
  </si>
  <si>
    <t>VACACIONES 2018 AIDA HERNÁNDEZ SUC CEDIS</t>
  </si>
  <si>
    <t>F/B291  JOAQUÍN MONCADA GUERRA ARMAZÓN OFTÁLMICO (LENTES RORIGO MESTAS)</t>
  </si>
  <si>
    <t>PRESTAMO JULIO CESAR</t>
  </si>
  <si>
    <t>NOMINA #46 CEDIS</t>
  </si>
  <si>
    <t xml:space="preserve">NOMINA #46 JUDITH BEHAR QUIÑONES  </t>
  </si>
  <si>
    <t>NOMINA #46 ALFONSO AGUILAR AGUIRRE</t>
  </si>
  <si>
    <t>VACACIONES 2018 COMPLEMENTO AIDA HERNÁNDEZ SUC CEDIS</t>
  </si>
  <si>
    <t>VACACIONES 2018 JULIO CESAR JIMENEZ SOLTERO SUC CEDIS</t>
  </si>
  <si>
    <t>GASOLINERA REMUS FACT/AT86052 (19/11/2018)</t>
  </si>
  <si>
    <t>GASOLINERA REMUS FACT/AT89053 (19/11/2018)</t>
  </si>
  <si>
    <t>NOMINA #47 CEDIS</t>
  </si>
  <si>
    <t xml:space="preserve">NOMINA #47 JUDITH BEHAR QUIÑONES  </t>
  </si>
  <si>
    <t>NOMINA #47 ALFONSO AGUILAR AGUIRRE</t>
  </si>
  <si>
    <t>RO GASTOS PERSONALES Y TDC AMERICAN EXPRESS VTO 03/12/18</t>
  </si>
  <si>
    <t>APOYO CREDITO CELULAR RAFAEL MEDINA MES NOVIEMBRE TICKET "FARMACIAS GUADALAJARA" (30/11/2018)</t>
  </si>
  <si>
    <t>NOMINA #44 CEDIS "GABRIEL PONCE PEREZ" TRANSFERENCIA REF 5155501</t>
  </si>
  <si>
    <t>NOMINA #45 CEDIS "GABRIEL PONCE PEREZ" TRANSFERENCIA REF 5155501</t>
  </si>
  <si>
    <t>NOMINA #44 INGLATERRA</t>
  </si>
  <si>
    <t>NOMINA #44CARLOS RICO (AUMENTO MENSUAL MES OCTUBRE)</t>
  </si>
  <si>
    <t>SIAPA SUC INGLATERRA (21 SEPTIEMBRE - 22 OCTUBRE 2018)</t>
  </si>
  <si>
    <t>NOMINA #45 INGLATERRA</t>
  </si>
  <si>
    <t>1RA PARTE DE LA RENTA SUC INGLATERRA (15/11/2018)</t>
  </si>
  <si>
    <t>FINIQUITO GABRIEL ZAID MEDRANO ZARATE SUC INGLATERRA</t>
  </si>
  <si>
    <t>NOMINA #46 INGLATERRA</t>
  </si>
  <si>
    <t>ARENA PARA PARAGUAS SUC INGLATERRA NOTA FERRETERIA VALLARTA (26/11/2018)</t>
  </si>
  <si>
    <t>NOMINA #47 INGLATERRA</t>
  </si>
  <si>
    <t>VACACIONES 2018 OSCAR BARRAGAN SUC INGLATERRA</t>
  </si>
  <si>
    <t>PRESTAMO JULIETA REYNOSA</t>
  </si>
  <si>
    <t>ARREGLO ELECTRICIDAD SR RAMON VALE DE CAJA</t>
  </si>
  <si>
    <t>UBEREATS</t>
  </si>
  <si>
    <t>AGUA POTABLE * RESIDENTE DE CHAPALITA (CONSUMO SEPTIEMBRE 2018)(FOLIO 80180)</t>
  </si>
  <si>
    <t>NOMINA #44 TEPEYAC</t>
  </si>
  <si>
    <t>NOMINA #45 TEPEYAC</t>
  </si>
  <si>
    <t>NOMINA #46 TEPEYAC</t>
  </si>
  <si>
    <t>FINIQUITO VICTORIA MEDINA GUTIERREZ SUC TEPEYAC</t>
  </si>
  <si>
    <t>NOMINA #47 TEPEYAC</t>
  </si>
  <si>
    <t>NOMINA #44 PALOMAR</t>
  </si>
  <si>
    <t>NOMINA #45 PALOMAR</t>
  </si>
  <si>
    <t>NOMINA #46 PALOMAR</t>
  </si>
  <si>
    <t>FINIQUITO CLAUDIA CHACON OCHOA SUC PALOMAR</t>
  </si>
  <si>
    <t>NOMINA #47 PALOMAR</t>
  </si>
  <si>
    <t>COMPLEMENTO DE NOMINA #47 JUAN MARTIN VALE DE CAJA</t>
  </si>
  <si>
    <t>TRASPASO ENTRE CUENTAS AGUINALDOS 2018</t>
  </si>
  <si>
    <t>DESARROLLO DE FRANQUICIAS FACT 1648 MENSUALIDAD NOV 18</t>
  </si>
  <si>
    <t xml:space="preserve">CAFE CONSUMOS TRO FACT A1037 </t>
  </si>
  <si>
    <t>INVESTIGACION  DE MERCADOS FACT 1094 (TERCER PAGO)</t>
  </si>
  <si>
    <t>IMPUESTOS 2% S/NOMINA PERIODO OCTUBRE 18</t>
  </si>
  <si>
    <t>PAGO PRESTAMO CERVECERIA MENSUALIDAD NOVIEMBRE 2018</t>
  </si>
  <si>
    <t>IMPUESTOS SEGURO SOCIAL  PERIODO OCTUBRE 2018</t>
  </si>
  <si>
    <t>PAGO PRESTAMO QUINTO PAGO TORTAS RO</t>
  </si>
  <si>
    <t>IMPUESTOS FEDERALES PERIODO OCTUBRE 2018</t>
  </si>
  <si>
    <t>INVESTIGACION DE MERCADOS ULTIMO PAGO DE CONTRATO FACT 1120</t>
  </si>
  <si>
    <t>PROGRAMAS SISTEMAS ABONO FACT CFDI722 TRO</t>
  </si>
  <si>
    <t>SISTEMA OSMOSIS INVERSA (AGUA) FACT 3391E MENSUALIDAD NOVIEMBRE</t>
  </si>
  <si>
    <t>MANEJO DE REDES SOCIALES FACT A93 MENSUALIDAD NOVIEMBRE 2018</t>
  </si>
  <si>
    <t>COMPRA DE AGUACATE FACT 167 FACT 170 TORTAS RO</t>
  </si>
  <si>
    <t>FUMIGACIONES FACT 1455 MENSAULIDAD NOVIEMBRE 2018</t>
  </si>
  <si>
    <t>MUSICA Y SONIDO FACT 25508 MENSAULIDAD NOVIEMBRE</t>
  </si>
  <si>
    <t>MANTENIMIENTO EQ TRANSP TRO FACT A1003 CARRO CEDIS SENSOR OXIGENO</t>
  </si>
  <si>
    <t>cedis</t>
  </si>
  <si>
    <t>sucursales</t>
  </si>
  <si>
    <t>los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</si>
</sst>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.00"/>
    <numFmt numFmtId="165" formatCode="_-\$* #,##0.00_-;&quot;-$&quot;* #,##0.00_-;_-\$* \-??_-;_-@_-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b/>
      <i/>
      <sz val="9"/>
      <color indexed="10"/>
      <name val="Arial"/>
      <family val="2"/>
    </font>
    <font>
      <b/>
      <sz val="9"/>
      <name val="Arial"/>
      <family val="2"/>
    </font>
    <font>
      <sz val="11"/>
      <color indexed="8"/>
      <name val="Calibri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11"/>
      <color indexed="8"/>
      <name val="Palatino Linotype"/>
      <family val="2"/>
    </font>
    <font>
      <sz val="12"/>
      <color indexed="8"/>
      <name val="Verdana"/>
      <family val="2"/>
    </font>
    <font>
      <sz val="11"/>
      <color theme="1"/>
      <name val="Palatino Linotype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hair">
        <color indexed="60"/>
      </left>
      <right style="hair">
        <color indexed="60"/>
      </right>
      <top style="hair">
        <color indexed="60"/>
      </top>
      <bottom style="hair">
        <color indexed="60"/>
      </bottom>
      <diagonal/>
    </border>
    <border>
      <left style="medium">
        <color indexed="60"/>
      </left>
      <right style="hair">
        <color indexed="60"/>
      </right>
      <top/>
      <bottom style="hair">
        <color indexed="60"/>
      </bottom>
      <diagonal/>
    </border>
    <border>
      <left style="hair">
        <color indexed="60"/>
      </left>
      <right style="hair">
        <color indexed="60"/>
      </right>
      <top/>
      <bottom style="hair">
        <color indexed="60"/>
      </bottom>
      <diagonal/>
    </border>
    <border>
      <left style="medium">
        <color indexed="60"/>
      </left>
      <right style="hair">
        <color indexed="60"/>
      </right>
      <top style="hair">
        <color indexed="60"/>
      </top>
      <bottom style="hair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0"/>
      </right>
      <top style="hair">
        <color indexed="60"/>
      </top>
      <bottom style="hair">
        <color indexed="60"/>
      </bottom>
      <diagonal/>
    </border>
    <border>
      <left/>
      <right style="hair">
        <color indexed="60"/>
      </right>
      <top/>
      <bottom style="hair">
        <color indexed="60"/>
      </bottom>
      <diagonal/>
    </border>
    <border>
      <left/>
      <right/>
      <top style="thin">
        <color theme="9"/>
      </top>
      <bottom/>
      <diagonal/>
    </border>
  </borders>
  <cellStyleXfs count="25">
    <xf numFmtId="0" fontId="0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6" fillId="0" borderId="0" applyFill="0" applyProtection="0"/>
    <xf numFmtId="0" fontId="6" fillId="0" borderId="0" applyFill="0" applyProtection="0"/>
    <xf numFmtId="165" fontId="1" fillId="0" borderId="0" applyFill="0" applyBorder="0" applyAlignment="0" applyProtection="0"/>
    <xf numFmtId="165" fontId="1" fillId="0" borderId="0" applyFill="0" applyBorder="0" applyAlignment="0" applyProtection="0"/>
    <xf numFmtId="165" fontId="1" fillId="0" borderId="0" applyFill="0" applyBorder="0" applyAlignment="0" applyProtection="0"/>
    <xf numFmtId="44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 applyNumberFormat="0" applyFill="0" applyBorder="0" applyProtection="0">
      <alignment vertical="top"/>
    </xf>
    <xf numFmtId="0" fontId="1" fillId="0" borderId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11" fillId="0" borderId="0"/>
    <xf numFmtId="43" fontId="15" fillId="0" borderId="0" applyFont="0" applyFill="0" applyBorder="0" applyAlignment="0" applyProtection="0"/>
  </cellStyleXfs>
  <cellXfs count="66">
    <xf numFmtId="0" fontId="0" fillId="0" borderId="0" xfId="0"/>
    <xf numFmtId="0" fontId="2" fillId="0" borderId="0" xfId="1" applyFont="1"/>
    <xf numFmtId="0" fontId="3" fillId="0" borderId="0" xfId="0" applyFont="1"/>
    <xf numFmtId="0" fontId="4" fillId="0" borderId="0" xfId="1" applyFont="1" applyAlignment="1">
      <alignment horizontal="center"/>
    </xf>
    <xf numFmtId="14" fontId="2" fillId="0" borderId="1" xfId="1" applyNumberFormat="1" applyFont="1" applyFill="1" applyBorder="1" applyAlignment="1">
      <alignment horizontal="center"/>
    </xf>
    <xf numFmtId="0" fontId="2" fillId="0" borderId="1" xfId="1" applyFont="1" applyFill="1" applyBorder="1" applyAlignment="1">
      <alignment horizontal="left" wrapText="1"/>
    </xf>
    <xf numFmtId="44" fontId="2" fillId="0" borderId="1" xfId="2" applyFont="1" applyFill="1" applyBorder="1"/>
    <xf numFmtId="14" fontId="2" fillId="0" borderId="2" xfId="1" applyNumberFormat="1" applyFont="1" applyFill="1" applyBorder="1" applyAlignment="1">
      <alignment horizontal="center"/>
    </xf>
    <xf numFmtId="0" fontId="2" fillId="0" borderId="3" xfId="1" applyFont="1" applyFill="1" applyBorder="1"/>
    <xf numFmtId="44" fontId="2" fillId="0" borderId="3" xfId="2" applyFont="1" applyFill="1" applyBorder="1"/>
    <xf numFmtId="0" fontId="2" fillId="0" borderId="1" xfId="1" applyFont="1" applyFill="1" applyBorder="1"/>
    <xf numFmtId="0" fontId="2" fillId="0" borderId="3" xfId="1" applyFont="1" applyFill="1" applyBorder="1" applyAlignment="1">
      <alignment horizontal="left"/>
    </xf>
    <xf numFmtId="14" fontId="2" fillId="0" borderId="4" xfId="3" applyNumberFormat="1" applyFont="1" applyFill="1" applyBorder="1" applyAlignment="1">
      <alignment horizontal="center"/>
    </xf>
    <xf numFmtId="0" fontId="2" fillId="0" borderId="1" xfId="3" applyFont="1" applyFill="1" applyBorder="1"/>
    <xf numFmtId="0" fontId="2" fillId="0" borderId="0" xfId="1" applyFont="1" applyFill="1" applyBorder="1" applyAlignment="1">
      <alignment horizontal="right"/>
    </xf>
    <xf numFmtId="44" fontId="5" fillId="2" borderId="0" xfId="1" applyNumberFormat="1" applyFont="1" applyFill="1"/>
    <xf numFmtId="14" fontId="2" fillId="0" borderId="1" xfId="3" applyNumberFormat="1" applyFont="1" applyFill="1" applyBorder="1" applyAlignment="1">
      <alignment horizontal="center"/>
    </xf>
    <xf numFmtId="0" fontId="8" fillId="0" borderId="0" xfId="5" applyFont="1" applyFill="1" applyBorder="1" applyProtection="1"/>
    <xf numFmtId="0" fontId="2" fillId="0" borderId="0" xfId="1" applyFont="1" applyFill="1" applyBorder="1" applyProtection="1"/>
    <xf numFmtId="0" fontId="7" fillId="3" borderId="5" xfId="4" applyFont="1" applyFill="1" applyBorder="1" applyAlignment="1" applyProtection="1">
      <alignment horizontal="center"/>
    </xf>
    <xf numFmtId="14" fontId="8" fillId="0" borderId="6" xfId="5" applyNumberFormat="1" applyFont="1" applyFill="1" applyBorder="1" applyProtection="1"/>
    <xf numFmtId="0" fontId="2" fillId="0" borderId="6" xfId="1" applyFont="1" applyFill="1" applyBorder="1" applyAlignment="1" applyProtection="1">
      <alignment vertical="center"/>
    </xf>
    <xf numFmtId="164" fontId="8" fillId="0" borderId="6" xfId="5" applyNumberFormat="1" applyFont="1" applyFill="1" applyBorder="1" applyProtection="1"/>
    <xf numFmtId="0" fontId="8" fillId="0" borderId="6" xfId="5" applyFont="1" applyFill="1" applyBorder="1" applyProtection="1"/>
    <xf numFmtId="0" fontId="2" fillId="0" borderId="6" xfId="1" applyFont="1" applyFill="1" applyBorder="1" applyProtection="1"/>
    <xf numFmtId="0" fontId="7" fillId="3" borderId="6" xfId="5" applyFont="1" applyFill="1" applyBorder="1" applyAlignment="1" applyProtection="1">
      <alignment horizontal="right"/>
    </xf>
    <xf numFmtId="164" fontId="5" fillId="0" borderId="6" xfId="1" applyNumberFormat="1" applyFont="1" applyBorder="1"/>
    <xf numFmtId="0" fontId="2" fillId="0" borderId="1" xfId="3" applyFont="1" applyFill="1" applyBorder="1" applyAlignment="1">
      <alignment horizontal="left"/>
    </xf>
    <xf numFmtId="14" fontId="2" fillId="0" borderId="7" xfId="3" applyNumberFormat="1" applyFont="1" applyFill="1" applyBorder="1" applyAlignment="1">
      <alignment horizontal="center"/>
    </xf>
    <xf numFmtId="14" fontId="2" fillId="4" borderId="2" xfId="1" applyNumberFormat="1" applyFont="1" applyFill="1" applyBorder="1" applyAlignment="1">
      <alignment horizontal="center"/>
    </xf>
    <xf numFmtId="0" fontId="2" fillId="4" borderId="3" xfId="1" applyFont="1" applyFill="1" applyBorder="1"/>
    <xf numFmtId="44" fontId="2" fillId="4" borderId="3" xfId="2" applyFont="1" applyFill="1" applyBorder="1"/>
    <xf numFmtId="0" fontId="3" fillId="4" borderId="0" xfId="0" applyFont="1" applyFill="1"/>
    <xf numFmtId="0" fontId="2" fillId="0" borderId="0" xfId="1" applyFont="1" applyBorder="1"/>
    <xf numFmtId="0" fontId="3" fillId="0" borderId="0" xfId="0" applyFont="1" applyBorder="1"/>
    <xf numFmtId="0" fontId="7" fillId="3" borderId="6" xfId="4" applyFont="1" applyFill="1" applyBorder="1" applyAlignment="1" applyProtection="1">
      <alignment horizontal="center"/>
    </xf>
    <xf numFmtId="0" fontId="3" fillId="0" borderId="0" xfId="0" applyFont="1" applyFill="1"/>
    <xf numFmtId="14" fontId="2" fillId="0" borderId="8" xfId="1" applyNumberFormat="1" applyFont="1" applyFill="1" applyBorder="1" applyAlignment="1">
      <alignment horizontal="center"/>
    </xf>
    <xf numFmtId="0" fontId="12" fillId="0" borderId="9" xfId="0" applyFont="1" applyBorder="1"/>
    <xf numFmtId="44" fontId="12" fillId="4" borderId="9" xfId="2" applyNumberFormat="1" applyFont="1" applyFill="1" applyBorder="1"/>
    <xf numFmtId="0" fontId="12" fillId="4" borderId="9" xfId="0" applyFont="1" applyFill="1" applyBorder="1"/>
    <xf numFmtId="44" fontId="13" fillId="0" borderId="9" xfId="2" applyNumberFormat="1" applyFont="1" applyBorder="1"/>
    <xf numFmtId="0" fontId="12" fillId="0" borderId="9" xfId="0" applyFont="1" applyFill="1" applyBorder="1"/>
    <xf numFmtId="44" fontId="12" fillId="0" borderId="9" xfId="2" applyNumberFormat="1" applyFont="1" applyFill="1" applyBorder="1"/>
    <xf numFmtId="14" fontId="2" fillId="4" borderId="1" xfId="1" applyNumberFormat="1" applyFont="1" applyFill="1" applyBorder="1" applyAlignment="1">
      <alignment horizontal="center"/>
    </xf>
    <xf numFmtId="0" fontId="2" fillId="4" borderId="1" xfId="1" applyFont="1" applyFill="1" applyBorder="1"/>
    <xf numFmtId="44" fontId="2" fillId="4" borderId="1" xfId="2" applyFont="1" applyFill="1" applyBorder="1"/>
    <xf numFmtId="0" fontId="2" fillId="4" borderId="3" xfId="1" applyFont="1" applyFill="1" applyBorder="1" applyAlignment="1">
      <alignment horizontal="left"/>
    </xf>
    <xf numFmtId="14" fontId="2" fillId="5" borderId="2" xfId="1" applyNumberFormat="1" applyFont="1" applyFill="1" applyBorder="1" applyAlignment="1">
      <alignment horizontal="center"/>
    </xf>
    <xf numFmtId="0" fontId="2" fillId="5" borderId="3" xfId="1" applyFont="1" applyFill="1" applyBorder="1" applyAlignment="1">
      <alignment horizontal="left"/>
    </xf>
    <xf numFmtId="44" fontId="2" fillId="5" borderId="1" xfId="2" applyFont="1" applyFill="1" applyBorder="1"/>
    <xf numFmtId="14" fontId="5" fillId="0" borderId="2" xfId="1" applyNumberFormat="1" applyFont="1" applyFill="1" applyBorder="1" applyAlignment="1">
      <alignment horizontal="center"/>
    </xf>
    <xf numFmtId="0" fontId="5" fillId="0" borderId="3" xfId="1" applyFont="1" applyFill="1" applyBorder="1" applyAlignment="1">
      <alignment horizontal="left"/>
    </xf>
    <xf numFmtId="44" fontId="5" fillId="0" borderId="1" xfId="2" applyFont="1" applyFill="1" applyBorder="1"/>
    <xf numFmtId="0" fontId="14" fillId="4" borderId="0" xfId="0" applyFont="1" applyFill="1"/>
    <xf numFmtId="44" fontId="4" fillId="0" borderId="0" xfId="1" applyNumberFormat="1" applyFont="1" applyAlignment="1">
      <alignment horizontal="center"/>
    </xf>
    <xf numFmtId="164" fontId="8" fillId="6" borderId="6" xfId="5" applyNumberFormat="1" applyFont="1" applyFill="1" applyBorder="1" applyProtection="1"/>
    <xf numFmtId="164" fontId="8" fillId="7" borderId="6" xfId="5" applyNumberFormat="1" applyFont="1" applyFill="1" applyBorder="1" applyProtection="1"/>
    <xf numFmtId="164" fontId="8" fillId="4" borderId="6" xfId="5" applyNumberFormat="1" applyFont="1" applyFill="1" applyBorder="1" applyProtection="1"/>
    <xf numFmtId="44" fontId="3" fillId="0" borderId="0" xfId="0" applyNumberFormat="1" applyFont="1"/>
    <xf numFmtId="0" fontId="0" fillId="3" borderId="0" xfId="0" applyFill="1" applyProtection="1"/>
    <xf numFmtId="0" fontId="2" fillId="0" borderId="1" xfId="1" applyFont="1" applyFill="1" applyBorder="1" applyAlignment="1">
      <alignment horizontal="left"/>
    </xf>
    <xf numFmtId="164" fontId="5" fillId="0" borderId="0" xfId="1" applyNumberFormat="1" applyFont="1" applyBorder="1"/>
    <xf numFmtId="14" fontId="8" fillId="4" borderId="6" xfId="5" applyNumberFormat="1" applyFont="1" applyFill="1" applyBorder="1" applyProtection="1"/>
    <xf numFmtId="0" fontId="8" fillId="4" borderId="6" xfId="5" applyFont="1" applyFill="1" applyBorder="1" applyProtection="1"/>
    <xf numFmtId="43" fontId="0" fillId="0" borderId="0" xfId="24" applyFont="1"/>
  </cellXfs>
  <cellStyles count="25">
    <cellStyle name="Millares" xfId="24" builtinId="3"/>
    <cellStyle name="Moneda 2" xfId="6"/>
    <cellStyle name="Moneda 2 2" xfId="7"/>
    <cellStyle name="Moneda 2 3" xfId="8"/>
    <cellStyle name="Moneda 3" xfId="9"/>
    <cellStyle name="Moneda 4" xfId="2"/>
    <cellStyle name="Normal" xfId="0" builtinId="0"/>
    <cellStyle name="Normal 2" xfId="10"/>
    <cellStyle name="Normal 2 2" xfId="3"/>
    <cellStyle name="Normal 2 3" xfId="11"/>
    <cellStyle name="Normal 3" xfId="12"/>
    <cellStyle name="Normal 3 2" xfId="13"/>
    <cellStyle name="Normal 3 3" xfId="14"/>
    <cellStyle name="Normal 3 4" xfId="15"/>
    <cellStyle name="Normal 4" xfId="16"/>
    <cellStyle name="Normal 5" xfId="5"/>
    <cellStyle name="Normal 6" xfId="4"/>
    <cellStyle name="Normal 6 2" xfId="17"/>
    <cellStyle name="Normal 6 3" xfId="18"/>
    <cellStyle name="Normal 6 3 2" xfId="19"/>
    <cellStyle name="Normal 6 4" xfId="20"/>
    <cellStyle name="Normal 6 4 2" xfId="21"/>
    <cellStyle name="Normal 6 5" xfId="22"/>
    <cellStyle name="Normal 7" xfId="23"/>
    <cellStyle name="Normal 8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43"/>
  <sheetViews>
    <sheetView topLeftCell="F1" zoomScale="70" zoomScaleNormal="70" workbookViewId="0">
      <selection activeCell="P1" sqref="P1"/>
    </sheetView>
  </sheetViews>
  <sheetFormatPr baseColWidth="10" defaultRowHeight="12" x14ac:dyDescent="0.2"/>
  <cols>
    <col min="1" max="1" width="10.7109375" style="2" customWidth="1"/>
    <col min="2" max="2" width="17.140625" style="2" customWidth="1"/>
    <col min="3" max="3" width="11" style="2" bestFit="1" customWidth="1"/>
    <col min="4" max="4" width="9.85546875" style="2" bestFit="1" customWidth="1"/>
    <col min="5" max="5" width="11.42578125" style="2"/>
    <col min="6" max="6" width="12" style="2" bestFit="1" customWidth="1"/>
    <col min="7" max="13" width="11.42578125" style="2"/>
    <col min="14" max="14" width="21.42578125" style="2" customWidth="1"/>
    <col min="15" max="15" width="11.42578125" style="2"/>
    <col min="16" max="16" width="89" style="2" bestFit="1" customWidth="1"/>
    <col min="17" max="16384" width="11.42578125" style="2"/>
  </cols>
  <sheetData>
    <row r="1" spans="1:16" x14ac:dyDescent="0.2">
      <c r="A1" s="1"/>
      <c r="B1" s="3" t="s">
        <v>0</v>
      </c>
      <c r="C1" s="3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19" t="s">
        <v>494</v>
      </c>
    </row>
    <row r="2" spans="1:16" ht="60" x14ac:dyDescent="0.2">
      <c r="A2" s="4">
        <v>43132</v>
      </c>
      <c r="B2" s="5" t="s">
        <v>1028</v>
      </c>
      <c r="C2" s="6">
        <v>1300</v>
      </c>
      <c r="D2" s="12">
        <v>43313</v>
      </c>
      <c r="E2" s="13" t="s">
        <v>1029</v>
      </c>
      <c r="F2" s="6">
        <v>32846.396000000001</v>
      </c>
      <c r="G2" s="16">
        <v>43313</v>
      </c>
      <c r="H2" s="13" t="s">
        <v>1030</v>
      </c>
      <c r="I2" s="6">
        <v>11842.99</v>
      </c>
      <c r="J2" s="16">
        <v>43313</v>
      </c>
      <c r="K2" s="13" t="s">
        <v>1031</v>
      </c>
      <c r="L2" s="6">
        <v>11207.3</v>
      </c>
      <c r="M2" s="20" t="s">
        <v>24</v>
      </c>
      <c r="N2" s="21" t="s">
        <v>4</v>
      </c>
      <c r="O2" s="22">
        <v>942.62</v>
      </c>
      <c r="P2" s="23" t="s">
        <v>6</v>
      </c>
    </row>
    <row r="3" spans="1:16" x14ac:dyDescent="0.2">
      <c r="A3" s="7">
        <v>43160</v>
      </c>
      <c r="B3" s="8" t="s">
        <v>1032</v>
      </c>
      <c r="C3" s="9">
        <v>4515</v>
      </c>
      <c r="D3" s="12" t="s">
        <v>1033</v>
      </c>
      <c r="E3" s="13" t="s">
        <v>1034</v>
      </c>
      <c r="F3" s="6">
        <v>22960.876</v>
      </c>
      <c r="G3" s="16" t="s">
        <v>1033</v>
      </c>
      <c r="H3" s="13" t="s">
        <v>1035</v>
      </c>
      <c r="I3" s="6">
        <v>10478.73</v>
      </c>
      <c r="J3" s="16" t="s">
        <v>1033</v>
      </c>
      <c r="K3" s="13" t="s">
        <v>1036</v>
      </c>
      <c r="L3" s="6">
        <v>8857.2999999999993</v>
      </c>
      <c r="M3" s="20" t="s">
        <v>25</v>
      </c>
      <c r="N3" s="21" t="s">
        <v>4</v>
      </c>
      <c r="O3" s="22">
        <v>808.55</v>
      </c>
      <c r="P3" s="23" t="s">
        <v>6</v>
      </c>
    </row>
    <row r="4" spans="1:16" x14ac:dyDescent="0.2">
      <c r="A4" s="7">
        <v>43313</v>
      </c>
      <c r="B4" s="10" t="s">
        <v>1037</v>
      </c>
      <c r="C4" s="6">
        <v>19952.485000000001</v>
      </c>
      <c r="D4" s="12" t="s">
        <v>47</v>
      </c>
      <c r="E4" s="13" t="s">
        <v>1038</v>
      </c>
      <c r="F4" s="6">
        <v>905</v>
      </c>
      <c r="G4" s="16" t="s">
        <v>1039</v>
      </c>
      <c r="H4" s="10" t="s">
        <v>1040</v>
      </c>
      <c r="I4" s="6">
        <v>10335.870000000001</v>
      </c>
      <c r="J4" s="16" t="s">
        <v>1039</v>
      </c>
      <c r="K4" s="13" t="s">
        <v>1041</v>
      </c>
      <c r="L4" s="6">
        <v>7571.54</v>
      </c>
      <c r="M4" s="20" t="s">
        <v>26</v>
      </c>
      <c r="N4" s="24" t="s">
        <v>7</v>
      </c>
      <c r="O4" s="22">
        <v>5537</v>
      </c>
      <c r="P4" s="23" t="s">
        <v>27</v>
      </c>
    </row>
    <row r="5" spans="1:16" x14ac:dyDescent="0.2">
      <c r="A5" s="7">
        <v>43313</v>
      </c>
      <c r="B5" s="11" t="s">
        <v>1042</v>
      </c>
      <c r="C5" s="9">
        <v>240</v>
      </c>
      <c r="D5" s="12" t="s">
        <v>1039</v>
      </c>
      <c r="E5" s="13" t="s">
        <v>1043</v>
      </c>
      <c r="F5" s="6">
        <v>22889.155999999999</v>
      </c>
      <c r="G5" s="4" t="s">
        <v>55</v>
      </c>
      <c r="H5" s="10" t="s">
        <v>1044</v>
      </c>
      <c r="I5" s="6">
        <v>702</v>
      </c>
      <c r="J5" s="12" t="s">
        <v>53</v>
      </c>
      <c r="K5" s="13" t="s">
        <v>1045</v>
      </c>
      <c r="L5" s="6">
        <v>148.5</v>
      </c>
      <c r="M5" s="20" t="s">
        <v>26</v>
      </c>
      <c r="N5" s="24" t="s">
        <v>8</v>
      </c>
      <c r="O5" s="22">
        <v>3500</v>
      </c>
      <c r="P5" s="23" t="s">
        <v>28</v>
      </c>
    </row>
    <row r="6" spans="1:16" x14ac:dyDescent="0.2">
      <c r="A6" s="7">
        <v>43313</v>
      </c>
      <c r="B6" s="11" t="s">
        <v>1046</v>
      </c>
      <c r="C6" s="9">
        <v>180</v>
      </c>
      <c r="D6" s="12" t="s">
        <v>55</v>
      </c>
      <c r="E6" s="13" t="s">
        <v>1047</v>
      </c>
      <c r="F6" s="6">
        <v>1599</v>
      </c>
      <c r="G6" s="12" t="s">
        <v>53</v>
      </c>
      <c r="H6" s="13" t="s">
        <v>1045</v>
      </c>
      <c r="I6" s="6">
        <v>148.5</v>
      </c>
      <c r="J6" s="16" t="s">
        <v>1048</v>
      </c>
      <c r="K6" s="13" t="s">
        <v>1049</v>
      </c>
      <c r="L6" s="6">
        <v>7607.25</v>
      </c>
      <c r="M6" s="20" t="s">
        <v>26</v>
      </c>
      <c r="N6" s="24" t="s">
        <v>9</v>
      </c>
      <c r="O6" s="22">
        <v>2254</v>
      </c>
      <c r="P6" s="23" t="s">
        <v>29</v>
      </c>
    </row>
    <row r="7" spans="1:16" x14ac:dyDescent="0.2">
      <c r="A7" s="7">
        <v>43313</v>
      </c>
      <c r="B7" s="11" t="s">
        <v>1050</v>
      </c>
      <c r="C7" s="9">
        <v>240</v>
      </c>
      <c r="D7" s="12" t="s">
        <v>53</v>
      </c>
      <c r="E7" s="13" t="s">
        <v>1045</v>
      </c>
      <c r="F7" s="6">
        <v>148.5</v>
      </c>
      <c r="G7" s="4" t="s">
        <v>1048</v>
      </c>
      <c r="H7" s="10" t="s">
        <v>1051</v>
      </c>
      <c r="I7" s="6">
        <v>10807.3</v>
      </c>
      <c r="J7" s="16">
        <v>43221</v>
      </c>
      <c r="K7" s="13" t="s">
        <v>1052</v>
      </c>
      <c r="L7" s="6">
        <v>1513</v>
      </c>
      <c r="M7" s="20" t="s">
        <v>26</v>
      </c>
      <c r="N7" s="21" t="s">
        <v>9</v>
      </c>
      <c r="O7" s="22">
        <v>658</v>
      </c>
      <c r="P7" s="23" t="s">
        <v>29</v>
      </c>
    </row>
    <row r="8" spans="1:16" x14ac:dyDescent="0.2">
      <c r="A8" s="7">
        <v>43313</v>
      </c>
      <c r="B8" s="11" t="s">
        <v>1053</v>
      </c>
      <c r="C8" s="9">
        <v>350</v>
      </c>
      <c r="D8" s="12" t="s">
        <v>56</v>
      </c>
      <c r="E8" s="13" t="s">
        <v>1054</v>
      </c>
      <c r="F8" s="6">
        <v>805</v>
      </c>
      <c r="G8" s="4">
        <v>43252</v>
      </c>
      <c r="H8" s="10" t="s">
        <v>1055</v>
      </c>
      <c r="I8" s="6">
        <v>1109</v>
      </c>
      <c r="J8" s="16">
        <v>43435</v>
      </c>
      <c r="K8" s="13" t="s">
        <v>1056</v>
      </c>
      <c r="L8" s="6">
        <v>1644</v>
      </c>
      <c r="M8" s="20" t="s">
        <v>30</v>
      </c>
      <c r="N8" s="24" t="s">
        <v>4</v>
      </c>
      <c r="O8" s="22">
        <v>1264.8800000000001</v>
      </c>
      <c r="P8" s="23" t="s">
        <v>6</v>
      </c>
    </row>
    <row r="9" spans="1:16" x14ac:dyDescent="0.2">
      <c r="A9" s="7">
        <v>43313</v>
      </c>
      <c r="B9" s="11" t="s">
        <v>1057</v>
      </c>
      <c r="C9" s="9">
        <v>200</v>
      </c>
      <c r="D9" s="12" t="s">
        <v>1048</v>
      </c>
      <c r="E9" s="13" t="s">
        <v>1058</v>
      </c>
      <c r="F9" s="6">
        <v>22039.632000000001</v>
      </c>
      <c r="G9" s="4">
        <v>43313</v>
      </c>
      <c r="H9" s="10" t="s">
        <v>1059</v>
      </c>
      <c r="I9" s="6">
        <v>464</v>
      </c>
      <c r="J9" s="16" t="s">
        <v>46</v>
      </c>
      <c r="K9" s="13" t="s">
        <v>1060</v>
      </c>
      <c r="L9" s="6">
        <v>1644</v>
      </c>
      <c r="M9" s="20" t="s">
        <v>31</v>
      </c>
      <c r="N9" s="24" t="s">
        <v>13</v>
      </c>
      <c r="O9" s="22">
        <v>23200</v>
      </c>
      <c r="P9" s="23" t="s">
        <v>32</v>
      </c>
    </row>
    <row r="10" spans="1:16" x14ac:dyDescent="0.2">
      <c r="A10" s="7">
        <v>43313</v>
      </c>
      <c r="B10" s="8" t="s">
        <v>1061</v>
      </c>
      <c r="C10" s="6">
        <v>3168</v>
      </c>
      <c r="D10" s="12">
        <v>43160</v>
      </c>
      <c r="E10" s="13" t="s">
        <v>1062</v>
      </c>
      <c r="F10" s="6">
        <v>1141</v>
      </c>
      <c r="G10" s="4">
        <v>43344</v>
      </c>
      <c r="H10" s="10" t="s">
        <v>1063</v>
      </c>
      <c r="I10" s="6">
        <v>450</v>
      </c>
      <c r="J10" s="16" t="s">
        <v>56</v>
      </c>
      <c r="K10" s="13" t="s">
        <v>1064</v>
      </c>
      <c r="L10" s="6">
        <v>1634</v>
      </c>
      <c r="M10" s="20" t="s">
        <v>31</v>
      </c>
      <c r="N10" s="24" t="s">
        <v>11</v>
      </c>
      <c r="O10" s="22">
        <v>45.24</v>
      </c>
      <c r="P10" s="23" t="s">
        <v>12</v>
      </c>
    </row>
    <row r="11" spans="1:16" x14ac:dyDescent="0.2">
      <c r="A11" s="7">
        <v>43374</v>
      </c>
      <c r="B11" s="8" t="s">
        <v>680</v>
      </c>
      <c r="C11" s="9">
        <v>1000</v>
      </c>
      <c r="D11" s="12">
        <v>43252</v>
      </c>
      <c r="E11" s="13" t="s">
        <v>1065</v>
      </c>
      <c r="F11" s="6">
        <v>1059</v>
      </c>
      <c r="G11" s="4" t="s">
        <v>44</v>
      </c>
      <c r="H11" s="10" t="s">
        <v>1066</v>
      </c>
      <c r="I11" s="6">
        <v>1100</v>
      </c>
      <c r="J11" s="16" t="s">
        <v>58</v>
      </c>
      <c r="K11" s="13" t="s">
        <v>1067</v>
      </c>
      <c r="L11" s="6">
        <v>142</v>
      </c>
      <c r="M11" s="20" t="s">
        <v>33</v>
      </c>
      <c r="N11" s="23" t="s">
        <v>4</v>
      </c>
      <c r="O11" s="22">
        <v>485.25</v>
      </c>
      <c r="P11" s="23" t="s">
        <v>6</v>
      </c>
    </row>
    <row r="12" spans="1:16" x14ac:dyDescent="0.2">
      <c r="A12" s="7">
        <v>43374</v>
      </c>
      <c r="B12" s="8" t="s">
        <v>1068</v>
      </c>
      <c r="C12" s="9">
        <v>4000</v>
      </c>
      <c r="D12" s="12">
        <v>43313</v>
      </c>
      <c r="E12" s="13" t="s">
        <v>1069</v>
      </c>
      <c r="F12" s="6">
        <v>300</v>
      </c>
      <c r="G12" s="4" t="s">
        <v>1070</v>
      </c>
      <c r="H12" s="10" t="s">
        <v>1071</v>
      </c>
      <c r="I12" s="6">
        <v>1109</v>
      </c>
      <c r="J12" s="1"/>
      <c r="K12" s="14"/>
      <c r="L12" s="15"/>
      <c r="M12" s="20" t="s">
        <v>34</v>
      </c>
      <c r="N12" s="21" t="s">
        <v>14</v>
      </c>
      <c r="O12" s="22">
        <v>52450.09</v>
      </c>
      <c r="P12" s="23" t="s">
        <v>36</v>
      </c>
    </row>
    <row r="13" spans="1:16" x14ac:dyDescent="0.2">
      <c r="A13" s="7" t="s">
        <v>1033</v>
      </c>
      <c r="B13" s="8" t="s">
        <v>1072</v>
      </c>
      <c r="C13" s="9">
        <v>16691.215</v>
      </c>
      <c r="D13" s="12">
        <v>43374</v>
      </c>
      <c r="E13" s="13" t="s">
        <v>1073</v>
      </c>
      <c r="F13" s="6">
        <v>1109</v>
      </c>
      <c r="G13" s="4" t="s">
        <v>62</v>
      </c>
      <c r="H13" s="10" t="s">
        <v>1074</v>
      </c>
      <c r="I13" s="6">
        <v>285</v>
      </c>
      <c r="M13" s="20" t="s">
        <v>33</v>
      </c>
      <c r="N13" s="21" t="s">
        <v>10</v>
      </c>
      <c r="O13" s="22">
        <v>2204</v>
      </c>
      <c r="P13" s="23" t="s">
        <v>37</v>
      </c>
    </row>
    <row r="14" spans="1:16" x14ac:dyDescent="0.2">
      <c r="A14" s="7" t="s">
        <v>1033</v>
      </c>
      <c r="B14" s="8" t="s">
        <v>1075</v>
      </c>
      <c r="C14" s="9">
        <v>1382</v>
      </c>
      <c r="D14" s="12" t="s">
        <v>44</v>
      </c>
      <c r="E14" s="13" t="s">
        <v>1076</v>
      </c>
      <c r="F14" s="6">
        <v>1059</v>
      </c>
      <c r="G14" s="4" t="s">
        <v>1077</v>
      </c>
      <c r="H14" s="10" t="s">
        <v>1078</v>
      </c>
      <c r="I14" s="6">
        <v>1109</v>
      </c>
      <c r="M14" s="20" t="s">
        <v>35</v>
      </c>
      <c r="N14" s="23" t="s">
        <v>8</v>
      </c>
      <c r="O14" s="22">
        <v>3500</v>
      </c>
      <c r="P14" s="23" t="s">
        <v>38</v>
      </c>
    </row>
    <row r="15" spans="1:16" x14ac:dyDescent="0.2">
      <c r="A15" s="7" t="s">
        <v>1039</v>
      </c>
      <c r="B15" s="8" t="s">
        <v>1079</v>
      </c>
      <c r="C15" s="9">
        <v>16134.014999999999</v>
      </c>
      <c r="D15" s="12" t="s">
        <v>1033</v>
      </c>
      <c r="E15" s="13" t="s">
        <v>1080</v>
      </c>
      <c r="F15" s="6">
        <v>8000</v>
      </c>
      <c r="G15" s="1"/>
      <c r="H15" s="14"/>
      <c r="I15" s="15"/>
      <c r="M15" s="20" t="s">
        <v>33</v>
      </c>
      <c r="N15" s="23" t="s">
        <v>17</v>
      </c>
      <c r="O15" s="22">
        <v>25396.18</v>
      </c>
      <c r="P15" s="23" t="s">
        <v>39</v>
      </c>
    </row>
    <row r="16" spans="1:16" x14ac:dyDescent="0.2">
      <c r="A16" s="7" t="s">
        <v>1039</v>
      </c>
      <c r="B16" s="8" t="s">
        <v>1081</v>
      </c>
      <c r="C16" s="9">
        <v>1382</v>
      </c>
      <c r="D16" s="12" t="s">
        <v>47</v>
      </c>
      <c r="E16" s="13" t="s">
        <v>1082</v>
      </c>
      <c r="F16" s="6">
        <v>3140</v>
      </c>
      <c r="M16" s="20" t="s">
        <v>34</v>
      </c>
      <c r="N16" s="23" t="s">
        <v>15</v>
      </c>
      <c r="O16" s="22">
        <v>5563</v>
      </c>
      <c r="P16" s="23" t="s">
        <v>40</v>
      </c>
    </row>
    <row r="17" spans="1:16" x14ac:dyDescent="0.2">
      <c r="A17" s="7" t="s">
        <v>62</v>
      </c>
      <c r="B17" s="8" t="s">
        <v>1083</v>
      </c>
      <c r="C17" s="9">
        <v>1215</v>
      </c>
      <c r="D17" s="12" t="s">
        <v>45</v>
      </c>
      <c r="E17" s="13" t="s">
        <v>1084</v>
      </c>
      <c r="F17" s="6">
        <v>1109</v>
      </c>
      <c r="M17" s="20" t="s">
        <v>34</v>
      </c>
      <c r="N17" s="23" t="s">
        <v>15</v>
      </c>
      <c r="O17" s="22">
        <v>14132</v>
      </c>
      <c r="P17" s="23" t="s">
        <v>41</v>
      </c>
    </row>
    <row r="18" spans="1:16" x14ac:dyDescent="0.2">
      <c r="A18" s="7" t="s">
        <v>55</v>
      </c>
      <c r="B18" s="8" t="s">
        <v>1085</v>
      </c>
      <c r="C18" s="9">
        <v>919.5</v>
      </c>
      <c r="D18" s="12" t="s">
        <v>1070</v>
      </c>
      <c r="E18" s="13" t="s">
        <v>1086</v>
      </c>
      <c r="F18" s="6">
        <v>1220</v>
      </c>
      <c r="M18" s="20" t="s">
        <v>34</v>
      </c>
      <c r="N18" s="23" t="s">
        <v>15</v>
      </c>
      <c r="O18" s="22">
        <v>1278</v>
      </c>
      <c r="P18" s="23" t="s">
        <v>42</v>
      </c>
    </row>
    <row r="19" spans="1:16" x14ac:dyDescent="0.2">
      <c r="A19" s="12" t="s">
        <v>53</v>
      </c>
      <c r="B19" s="13" t="s">
        <v>1087</v>
      </c>
      <c r="C19" s="6">
        <v>2015</v>
      </c>
      <c r="D19" s="12" t="s">
        <v>55</v>
      </c>
      <c r="E19" s="13" t="s">
        <v>1088</v>
      </c>
      <c r="F19" s="6">
        <v>1059</v>
      </c>
      <c r="M19" s="20" t="s">
        <v>33</v>
      </c>
      <c r="N19" s="23" t="s">
        <v>22</v>
      </c>
      <c r="O19" s="22">
        <v>1624</v>
      </c>
      <c r="P19" s="23" t="s">
        <v>43</v>
      </c>
    </row>
    <row r="20" spans="1:16" x14ac:dyDescent="0.2">
      <c r="A20" s="12" t="s">
        <v>56</v>
      </c>
      <c r="B20" s="13" t="s">
        <v>1089</v>
      </c>
      <c r="C20" s="6">
        <v>1183</v>
      </c>
      <c r="D20" s="12" t="s">
        <v>1077</v>
      </c>
      <c r="E20" s="13" t="s">
        <v>1090</v>
      </c>
      <c r="F20" s="6">
        <v>1079</v>
      </c>
      <c r="M20" s="20" t="s">
        <v>44</v>
      </c>
      <c r="N20" s="23" t="s">
        <v>4</v>
      </c>
      <c r="O20" s="22">
        <v>1287.29</v>
      </c>
      <c r="P20" s="23" t="s">
        <v>5</v>
      </c>
    </row>
    <row r="21" spans="1:16" x14ac:dyDescent="0.2">
      <c r="A21" s="7" t="s">
        <v>1048</v>
      </c>
      <c r="B21" s="8" t="s">
        <v>1091</v>
      </c>
      <c r="C21" s="9">
        <v>15848.295</v>
      </c>
      <c r="D21" s="12" t="s">
        <v>57</v>
      </c>
      <c r="E21" s="13" t="s">
        <v>1092</v>
      </c>
      <c r="F21" s="6">
        <v>1059</v>
      </c>
      <c r="M21" s="20" t="s">
        <v>45</v>
      </c>
      <c r="N21" s="23" t="s">
        <v>4</v>
      </c>
      <c r="O21" s="22">
        <v>416.43</v>
      </c>
      <c r="P21" s="23" t="s">
        <v>5</v>
      </c>
    </row>
    <row r="22" spans="1:16" x14ac:dyDescent="0.2">
      <c r="A22" s="7" t="s">
        <v>1048</v>
      </c>
      <c r="B22" s="8" t="s">
        <v>1093</v>
      </c>
      <c r="C22" s="9">
        <v>1382</v>
      </c>
      <c r="D22" s="1"/>
      <c r="E22" s="14"/>
      <c r="F22" s="15"/>
      <c r="M22" s="20" t="s">
        <v>46</v>
      </c>
      <c r="N22" s="23" t="s">
        <v>4</v>
      </c>
      <c r="O22" s="22">
        <v>1226.99</v>
      </c>
      <c r="P22" s="23" t="s">
        <v>5</v>
      </c>
    </row>
    <row r="23" spans="1:16" x14ac:dyDescent="0.2">
      <c r="A23" s="7" t="s">
        <v>57</v>
      </c>
      <c r="B23" s="8" t="s">
        <v>1094</v>
      </c>
      <c r="C23" s="9">
        <v>128</v>
      </c>
      <c r="M23" s="20" t="s">
        <v>47</v>
      </c>
      <c r="N23" s="23" t="s">
        <v>8</v>
      </c>
      <c r="O23" s="22">
        <v>3000</v>
      </c>
      <c r="P23" s="23" t="s">
        <v>28</v>
      </c>
    </row>
    <row r="24" spans="1:16" x14ac:dyDescent="0.2">
      <c r="A24" s="7" t="s">
        <v>57</v>
      </c>
      <c r="B24" s="8" t="s">
        <v>1095</v>
      </c>
      <c r="C24" s="9">
        <v>129</v>
      </c>
      <c r="M24" s="20" t="s">
        <v>48</v>
      </c>
      <c r="N24" s="23" t="s">
        <v>18</v>
      </c>
      <c r="O24" s="22">
        <v>5083</v>
      </c>
      <c r="P24" s="23" t="s">
        <v>52</v>
      </c>
    </row>
    <row r="25" spans="1:16" x14ac:dyDescent="0.2">
      <c r="B25" s="14"/>
      <c r="C25" s="59"/>
      <c r="E25" s="1"/>
      <c r="M25" s="20" t="s">
        <v>48</v>
      </c>
      <c r="N25" s="23" t="s">
        <v>16</v>
      </c>
      <c r="O25" s="22">
        <v>4704.96</v>
      </c>
      <c r="P25" s="23" t="s">
        <v>50</v>
      </c>
    </row>
    <row r="26" spans="1:16" x14ac:dyDescent="0.2">
      <c r="E26" s="1"/>
      <c r="M26" s="20" t="s">
        <v>48</v>
      </c>
      <c r="N26" s="23" t="s">
        <v>49</v>
      </c>
      <c r="O26" s="22">
        <v>1334</v>
      </c>
      <c r="P26" s="23" t="s">
        <v>51</v>
      </c>
    </row>
    <row r="27" spans="1:16" x14ac:dyDescent="0.2">
      <c r="E27" s="1"/>
      <c r="M27" s="20" t="s">
        <v>53</v>
      </c>
      <c r="N27" s="23" t="s">
        <v>54</v>
      </c>
      <c r="O27" s="22">
        <v>2053.1999999999998</v>
      </c>
      <c r="P27" s="23" t="s">
        <v>63</v>
      </c>
    </row>
    <row r="28" spans="1:16" x14ac:dyDescent="0.2">
      <c r="E28" s="1"/>
      <c r="M28" s="20" t="s">
        <v>55</v>
      </c>
      <c r="N28" s="23" t="s">
        <v>4</v>
      </c>
      <c r="O28" s="22">
        <v>367.39</v>
      </c>
      <c r="P28" s="23" t="s">
        <v>5</v>
      </c>
    </row>
    <row r="29" spans="1:16" x14ac:dyDescent="0.2">
      <c r="E29" s="1"/>
      <c r="M29" s="20" t="s">
        <v>56</v>
      </c>
      <c r="N29" s="23" t="s">
        <v>4</v>
      </c>
      <c r="O29" s="22">
        <v>1483.13</v>
      </c>
      <c r="P29" s="23" t="s">
        <v>5</v>
      </c>
    </row>
    <row r="30" spans="1:16" x14ac:dyDescent="0.2">
      <c r="E30" s="1"/>
      <c r="M30" s="20" t="s">
        <v>57</v>
      </c>
      <c r="N30" s="23" t="s">
        <v>4</v>
      </c>
      <c r="O30" s="22">
        <v>1677.77</v>
      </c>
      <c r="P30" s="23" t="s">
        <v>5</v>
      </c>
    </row>
    <row r="31" spans="1:16" x14ac:dyDescent="0.2">
      <c r="E31" s="1"/>
      <c r="M31" s="20" t="s">
        <v>53</v>
      </c>
      <c r="N31" s="23" t="s">
        <v>19</v>
      </c>
      <c r="O31" s="22">
        <v>3016</v>
      </c>
      <c r="P31" s="23" t="s">
        <v>64</v>
      </c>
    </row>
    <row r="32" spans="1:16" x14ac:dyDescent="0.2">
      <c r="E32" s="1"/>
      <c r="M32" s="20" t="s">
        <v>58</v>
      </c>
      <c r="N32" s="23" t="s">
        <v>59</v>
      </c>
      <c r="O32" s="22">
        <v>1507.5</v>
      </c>
      <c r="P32" s="23" t="s">
        <v>65</v>
      </c>
    </row>
    <row r="33" spans="5:16" x14ac:dyDescent="0.2">
      <c r="E33" s="1"/>
      <c r="M33" s="20" t="s">
        <v>57</v>
      </c>
      <c r="N33" s="23" t="s">
        <v>60</v>
      </c>
      <c r="O33" s="22">
        <v>3765</v>
      </c>
      <c r="P33" s="23" t="s">
        <v>66</v>
      </c>
    </row>
    <row r="34" spans="5:16" x14ac:dyDescent="0.2">
      <c r="E34" s="1"/>
      <c r="M34" s="20" t="s">
        <v>53</v>
      </c>
      <c r="N34" s="23" t="s">
        <v>61</v>
      </c>
      <c r="O34" s="22">
        <v>7400.8</v>
      </c>
      <c r="P34" s="23" t="s">
        <v>67</v>
      </c>
    </row>
    <row r="35" spans="5:16" x14ac:dyDescent="0.2">
      <c r="E35" s="1"/>
      <c r="M35" s="20" t="s">
        <v>57</v>
      </c>
      <c r="N35" s="23" t="s">
        <v>61</v>
      </c>
      <c r="O35" s="22">
        <v>3700.4</v>
      </c>
      <c r="P35" s="23" t="s">
        <v>68</v>
      </c>
    </row>
    <row r="36" spans="5:16" x14ac:dyDescent="0.2">
      <c r="E36" s="1"/>
      <c r="M36" s="20" t="s">
        <v>57</v>
      </c>
      <c r="N36" s="23" t="s">
        <v>20</v>
      </c>
      <c r="O36" s="22">
        <v>1529.98</v>
      </c>
      <c r="P36" s="23" t="s">
        <v>69</v>
      </c>
    </row>
    <row r="37" spans="5:16" x14ac:dyDescent="0.2">
      <c r="E37" s="1"/>
      <c r="M37" s="20" t="s">
        <v>57</v>
      </c>
      <c r="N37" s="23" t="s">
        <v>10</v>
      </c>
      <c r="O37" s="22">
        <v>1740</v>
      </c>
      <c r="P37" s="23" t="s">
        <v>70</v>
      </c>
    </row>
    <row r="38" spans="5:16" ht="17.25" customHeight="1" x14ac:dyDescent="0.2">
      <c r="E38" s="1"/>
      <c r="M38" s="20" t="s">
        <v>53</v>
      </c>
      <c r="N38" s="23" t="s">
        <v>23</v>
      </c>
      <c r="O38" s="22">
        <v>2320</v>
      </c>
      <c r="P38" s="23" t="s">
        <v>71</v>
      </c>
    </row>
    <row r="39" spans="5:16" ht="17.25" customHeight="1" x14ac:dyDescent="0.2">
      <c r="E39" s="1"/>
      <c r="M39" s="20" t="s">
        <v>62</v>
      </c>
      <c r="N39" s="23" t="s">
        <v>8</v>
      </c>
      <c r="O39" s="22">
        <v>3500</v>
      </c>
      <c r="P39" s="23" t="s">
        <v>72</v>
      </c>
    </row>
    <row r="40" spans="5:16" x14ac:dyDescent="0.2">
      <c r="E40" s="1"/>
      <c r="M40" s="20" t="s">
        <v>57</v>
      </c>
      <c r="N40" s="23" t="s">
        <v>8</v>
      </c>
      <c r="O40" s="22">
        <v>3500</v>
      </c>
      <c r="P40" s="23" t="s">
        <v>21</v>
      </c>
    </row>
    <row r="41" spans="5:16" x14ac:dyDescent="0.2">
      <c r="E41" s="1"/>
      <c r="M41" s="20" t="s">
        <v>62</v>
      </c>
      <c r="N41" s="24" t="s">
        <v>9</v>
      </c>
      <c r="O41" s="22">
        <v>589</v>
      </c>
      <c r="P41" s="23" t="s">
        <v>73</v>
      </c>
    </row>
    <row r="42" spans="5:16" x14ac:dyDescent="0.2">
      <c r="E42" s="1"/>
      <c r="M42" s="1"/>
      <c r="N42" s="25"/>
      <c r="O42" s="26"/>
    </row>
    <row r="43" spans="5:16" x14ac:dyDescent="0.2">
      <c r="E43" s="1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98"/>
  <sheetViews>
    <sheetView topLeftCell="E1" zoomScale="85" zoomScaleNormal="85" workbookViewId="0">
      <selection activeCell="P24" sqref="P24"/>
    </sheetView>
  </sheetViews>
  <sheetFormatPr baseColWidth="10" defaultRowHeight="12" x14ac:dyDescent="0.2"/>
  <cols>
    <col min="1" max="1" width="10.7109375" style="2" customWidth="1"/>
    <col min="2" max="2" width="20.5703125" style="2" customWidth="1"/>
    <col min="3" max="3" width="12.28515625" style="2" bestFit="1" customWidth="1"/>
    <col min="4" max="4" width="9.85546875" style="2" bestFit="1" customWidth="1"/>
    <col min="5" max="5" width="11.42578125" style="2"/>
    <col min="6" max="6" width="12" style="2" bestFit="1" customWidth="1"/>
    <col min="7" max="16384" width="11.42578125" style="2"/>
  </cols>
  <sheetData>
    <row r="1" spans="1:16" x14ac:dyDescent="0.2">
      <c r="A1" s="1"/>
      <c r="B1" s="3" t="s">
        <v>0</v>
      </c>
      <c r="C1" s="3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19" t="s">
        <v>494</v>
      </c>
    </row>
    <row r="2" spans="1:16" x14ac:dyDescent="0.2">
      <c r="A2" s="4">
        <v>43222</v>
      </c>
      <c r="B2" s="5" t="s">
        <v>570</v>
      </c>
      <c r="C2" s="6">
        <v>16434.014999999999</v>
      </c>
      <c r="D2" s="12">
        <v>43133</v>
      </c>
      <c r="E2" s="27" t="s">
        <v>571</v>
      </c>
      <c r="F2" s="6">
        <v>3945</v>
      </c>
      <c r="G2" s="16">
        <v>43133</v>
      </c>
      <c r="H2" s="13" t="s">
        <v>560</v>
      </c>
      <c r="I2" s="6">
        <v>473</v>
      </c>
      <c r="J2" s="16">
        <v>43133</v>
      </c>
      <c r="K2" s="13" t="s">
        <v>561</v>
      </c>
      <c r="L2" s="6">
        <v>641</v>
      </c>
      <c r="M2" s="20">
        <v>43102</v>
      </c>
      <c r="N2" s="21" t="s">
        <v>4</v>
      </c>
      <c r="O2" s="22">
        <v>638.54</v>
      </c>
      <c r="P2" s="23" t="s">
        <v>5</v>
      </c>
    </row>
    <row r="3" spans="1:16" x14ac:dyDescent="0.2">
      <c r="A3" s="7">
        <v>43222</v>
      </c>
      <c r="B3" s="8" t="s">
        <v>572</v>
      </c>
      <c r="C3" s="9">
        <v>1382</v>
      </c>
      <c r="D3" s="12">
        <v>43133</v>
      </c>
      <c r="E3" s="13" t="s">
        <v>559</v>
      </c>
      <c r="F3" s="6">
        <v>473</v>
      </c>
      <c r="G3" s="16">
        <v>43222</v>
      </c>
      <c r="H3" s="13" t="s">
        <v>573</v>
      </c>
      <c r="I3" s="6">
        <v>10378.719999999999</v>
      </c>
      <c r="J3" s="16">
        <v>43222</v>
      </c>
      <c r="K3" s="13" t="s">
        <v>574</v>
      </c>
      <c r="L3" s="6">
        <v>8363.44</v>
      </c>
      <c r="M3" s="20">
        <v>43102</v>
      </c>
      <c r="N3" s="21" t="s">
        <v>75</v>
      </c>
      <c r="O3" s="22">
        <v>3408</v>
      </c>
      <c r="P3" s="23" t="s">
        <v>77</v>
      </c>
    </row>
    <row r="4" spans="1:16" x14ac:dyDescent="0.2">
      <c r="A4" s="7">
        <v>43314</v>
      </c>
      <c r="B4" s="10" t="s">
        <v>575</v>
      </c>
      <c r="C4" s="6">
        <v>4000</v>
      </c>
      <c r="D4" s="12">
        <v>43222</v>
      </c>
      <c r="E4" s="13" t="s">
        <v>576</v>
      </c>
      <c r="F4" s="6">
        <v>24415.298999999999</v>
      </c>
      <c r="G4" s="16">
        <v>43436</v>
      </c>
      <c r="H4" s="10" t="s">
        <v>577</v>
      </c>
      <c r="I4" s="6">
        <v>11518.44</v>
      </c>
      <c r="J4" s="16">
        <v>43436</v>
      </c>
      <c r="K4" s="13" t="s">
        <v>578</v>
      </c>
      <c r="L4" s="6">
        <v>11235.86</v>
      </c>
      <c r="M4" s="20">
        <v>43103</v>
      </c>
      <c r="N4" s="24" t="s">
        <v>9</v>
      </c>
      <c r="O4" s="22">
        <v>588</v>
      </c>
      <c r="P4" s="23" t="s">
        <v>78</v>
      </c>
    </row>
    <row r="5" spans="1:16" x14ac:dyDescent="0.2">
      <c r="A5" s="7">
        <v>43436</v>
      </c>
      <c r="B5" s="11" t="s">
        <v>579</v>
      </c>
      <c r="C5" s="9">
        <v>16948.294999999998</v>
      </c>
      <c r="D5" s="12">
        <v>43436</v>
      </c>
      <c r="E5" s="13" t="s">
        <v>580</v>
      </c>
      <c r="F5" s="6">
        <v>22233.419000000002</v>
      </c>
      <c r="G5" s="4" t="s">
        <v>109</v>
      </c>
      <c r="H5" s="10" t="s">
        <v>581</v>
      </c>
      <c r="I5" s="6">
        <v>892</v>
      </c>
      <c r="J5" s="12" t="s">
        <v>120</v>
      </c>
      <c r="K5" s="13" t="s">
        <v>582</v>
      </c>
      <c r="L5" s="6">
        <v>9964.4699999999993</v>
      </c>
      <c r="M5" s="20">
        <v>43133</v>
      </c>
      <c r="N5" s="24" t="s">
        <v>79</v>
      </c>
      <c r="O5" s="22">
        <v>3298.23</v>
      </c>
      <c r="P5" s="23" t="s">
        <v>80</v>
      </c>
    </row>
    <row r="6" spans="1:16" x14ac:dyDescent="0.2">
      <c r="A6" s="7">
        <v>43436</v>
      </c>
      <c r="B6" s="11" t="s">
        <v>583</v>
      </c>
      <c r="C6" s="9">
        <v>1382</v>
      </c>
      <c r="D6" s="12" t="s">
        <v>95</v>
      </c>
      <c r="E6" s="13" t="s">
        <v>584</v>
      </c>
      <c r="F6" s="6">
        <v>1547.5</v>
      </c>
      <c r="G6" s="12" t="s">
        <v>120</v>
      </c>
      <c r="H6" s="13" t="s">
        <v>585</v>
      </c>
      <c r="I6" s="6">
        <v>11838.05</v>
      </c>
      <c r="J6" s="16" t="s">
        <v>117</v>
      </c>
      <c r="K6" s="13" t="s">
        <v>586</v>
      </c>
      <c r="L6" s="6">
        <v>11043.06</v>
      </c>
      <c r="M6" s="20">
        <v>43161</v>
      </c>
      <c r="N6" s="24" t="s">
        <v>4</v>
      </c>
      <c r="O6" s="22">
        <v>1394.61</v>
      </c>
      <c r="P6" s="23" t="s">
        <v>5</v>
      </c>
    </row>
    <row r="7" spans="1:16" x14ac:dyDescent="0.2">
      <c r="A7" s="7" t="s">
        <v>111</v>
      </c>
      <c r="B7" s="11" t="s">
        <v>587</v>
      </c>
      <c r="C7" s="9">
        <v>200</v>
      </c>
      <c r="D7" s="7" t="s">
        <v>120</v>
      </c>
      <c r="E7" s="13" t="s">
        <v>588</v>
      </c>
      <c r="F7" s="6">
        <v>21294.699000000001</v>
      </c>
      <c r="G7" s="4" t="s">
        <v>117</v>
      </c>
      <c r="H7" s="10" t="s">
        <v>589</v>
      </c>
      <c r="I7" s="6">
        <v>11207.33</v>
      </c>
      <c r="J7" s="16">
        <v>43345</v>
      </c>
      <c r="K7" s="13" t="s">
        <v>590</v>
      </c>
      <c r="L7" s="6">
        <v>1630</v>
      </c>
      <c r="M7" s="20">
        <v>43253</v>
      </c>
      <c r="N7" s="21" t="s">
        <v>7</v>
      </c>
      <c r="O7" s="22">
        <v>6336</v>
      </c>
      <c r="P7" s="23" t="s">
        <v>81</v>
      </c>
    </row>
    <row r="8" spans="1:16" x14ac:dyDescent="0.2">
      <c r="A8" s="7" t="s">
        <v>120</v>
      </c>
      <c r="B8" s="11" t="s">
        <v>591</v>
      </c>
      <c r="C8" s="9">
        <v>16334.014999999999</v>
      </c>
      <c r="D8" s="12" t="s">
        <v>74</v>
      </c>
      <c r="E8" s="13" t="s">
        <v>592</v>
      </c>
      <c r="F8" s="6">
        <v>17051.237000000001</v>
      </c>
      <c r="G8" s="4">
        <v>43161</v>
      </c>
      <c r="H8" s="10" t="s">
        <v>593</v>
      </c>
      <c r="I8" s="6">
        <v>1110</v>
      </c>
      <c r="J8" s="16" t="s">
        <v>111</v>
      </c>
      <c r="K8" s="13" t="s">
        <v>594</v>
      </c>
      <c r="L8" s="6">
        <v>1718</v>
      </c>
      <c r="M8" s="20">
        <v>43253</v>
      </c>
      <c r="N8" s="24" t="s">
        <v>9</v>
      </c>
      <c r="O8" s="22">
        <v>658</v>
      </c>
      <c r="P8" s="23" t="s">
        <v>82</v>
      </c>
    </row>
    <row r="9" spans="1:16" x14ac:dyDescent="0.2">
      <c r="A9" s="7" t="s">
        <v>120</v>
      </c>
      <c r="B9" s="11" t="s">
        <v>595</v>
      </c>
      <c r="C9" s="9">
        <v>1382</v>
      </c>
      <c r="D9" s="12">
        <v>43161</v>
      </c>
      <c r="E9" s="13" t="s">
        <v>596</v>
      </c>
      <c r="F9" s="6">
        <v>1109</v>
      </c>
      <c r="G9" s="4">
        <v>43375</v>
      </c>
      <c r="H9" s="10" t="s">
        <v>597</v>
      </c>
      <c r="I9" s="6">
        <v>1102</v>
      </c>
      <c r="J9" s="16" t="s">
        <v>598</v>
      </c>
      <c r="K9" s="13" t="s">
        <v>599</v>
      </c>
      <c r="L9" s="6">
        <v>1499</v>
      </c>
      <c r="M9" s="20">
        <v>43314</v>
      </c>
      <c r="N9" s="24" t="s">
        <v>83</v>
      </c>
      <c r="O9" s="22">
        <v>246.5</v>
      </c>
      <c r="P9" s="23" t="s">
        <v>85</v>
      </c>
    </row>
    <row r="10" spans="1:16" x14ac:dyDescent="0.2">
      <c r="A10" s="7" t="s">
        <v>120</v>
      </c>
      <c r="B10" s="8" t="s">
        <v>600</v>
      </c>
      <c r="C10" s="6">
        <v>2974</v>
      </c>
      <c r="D10" s="12">
        <v>43253</v>
      </c>
      <c r="E10" s="13" t="s">
        <v>601</v>
      </c>
      <c r="F10" s="6">
        <v>314</v>
      </c>
      <c r="G10" s="4" t="s">
        <v>602</v>
      </c>
      <c r="H10" s="10" t="s">
        <v>603</v>
      </c>
      <c r="I10" s="6">
        <v>1172</v>
      </c>
      <c r="J10" s="1"/>
      <c r="K10" s="14"/>
      <c r="L10" s="15"/>
      <c r="M10" s="20">
        <v>43314</v>
      </c>
      <c r="N10" s="24" t="s">
        <v>61</v>
      </c>
      <c r="O10" s="22">
        <v>3700.4</v>
      </c>
      <c r="P10" s="23" t="s">
        <v>86</v>
      </c>
    </row>
    <row r="11" spans="1:16" x14ac:dyDescent="0.2">
      <c r="A11" s="7" t="s">
        <v>604</v>
      </c>
      <c r="B11" s="8" t="s">
        <v>605</v>
      </c>
      <c r="C11" s="9">
        <v>812</v>
      </c>
      <c r="D11" s="12">
        <v>43283</v>
      </c>
      <c r="E11" s="13" t="s">
        <v>606</v>
      </c>
      <c r="F11" s="6">
        <v>1064</v>
      </c>
      <c r="G11" s="4" t="s">
        <v>607</v>
      </c>
      <c r="H11" s="10" t="s">
        <v>608</v>
      </c>
      <c r="I11" s="6">
        <v>1036</v>
      </c>
      <c r="M11" s="20">
        <v>43314</v>
      </c>
      <c r="N11" s="23" t="s">
        <v>20</v>
      </c>
      <c r="O11" s="22">
        <v>510</v>
      </c>
      <c r="P11" s="23" t="s">
        <v>87</v>
      </c>
    </row>
    <row r="12" spans="1:16" x14ac:dyDescent="0.2">
      <c r="A12" s="7" t="s">
        <v>113</v>
      </c>
      <c r="B12" s="8" t="s">
        <v>609</v>
      </c>
      <c r="C12" s="9">
        <v>286</v>
      </c>
      <c r="D12" s="12">
        <v>43375</v>
      </c>
      <c r="E12" s="13" t="s">
        <v>610</v>
      </c>
      <c r="F12" s="6">
        <v>1160</v>
      </c>
      <c r="G12" s="1"/>
      <c r="H12" s="14"/>
      <c r="I12" s="15"/>
      <c r="M12" s="20">
        <v>43314</v>
      </c>
      <c r="N12" s="21" t="s">
        <v>10</v>
      </c>
      <c r="O12" s="22">
        <v>2204</v>
      </c>
      <c r="P12" s="23" t="s">
        <v>88</v>
      </c>
    </row>
    <row r="13" spans="1:16" x14ac:dyDescent="0.2">
      <c r="A13" s="7" t="s">
        <v>598</v>
      </c>
      <c r="B13" s="8" t="s">
        <v>611</v>
      </c>
      <c r="C13" s="9">
        <v>788</v>
      </c>
      <c r="D13" s="12" t="s">
        <v>97</v>
      </c>
      <c r="E13" s="13" t="s">
        <v>612</v>
      </c>
      <c r="F13" s="6">
        <v>963</v>
      </c>
      <c r="M13" s="20">
        <v>43283</v>
      </c>
      <c r="N13" s="21" t="s">
        <v>8</v>
      </c>
      <c r="O13" s="22">
        <v>3500</v>
      </c>
      <c r="P13" s="23" t="s">
        <v>89</v>
      </c>
    </row>
    <row r="14" spans="1:16" x14ac:dyDescent="0.2">
      <c r="A14" s="7" t="s">
        <v>117</v>
      </c>
      <c r="B14" s="8" t="s">
        <v>613</v>
      </c>
      <c r="C14" s="9">
        <v>27062.055</v>
      </c>
      <c r="D14" s="12" t="s">
        <v>602</v>
      </c>
      <c r="E14" s="13" t="s">
        <v>614</v>
      </c>
      <c r="F14" s="6">
        <v>1363</v>
      </c>
      <c r="M14" s="20">
        <v>43314</v>
      </c>
      <c r="N14" s="23" t="s">
        <v>84</v>
      </c>
      <c r="O14" s="22">
        <v>1724.34</v>
      </c>
      <c r="P14" s="23" t="s">
        <v>90</v>
      </c>
    </row>
    <row r="15" spans="1:16" x14ac:dyDescent="0.2">
      <c r="A15" s="7" t="s">
        <v>117</v>
      </c>
      <c r="B15" s="8" t="s">
        <v>615</v>
      </c>
      <c r="C15" s="9">
        <v>1382</v>
      </c>
      <c r="D15" s="12" t="s">
        <v>112</v>
      </c>
      <c r="E15" s="13" t="s">
        <v>616</v>
      </c>
      <c r="F15" s="6">
        <v>1127</v>
      </c>
      <c r="M15" s="20">
        <v>43283</v>
      </c>
      <c r="N15" s="23" t="s">
        <v>11</v>
      </c>
      <c r="O15" s="22">
        <v>73.08</v>
      </c>
      <c r="P15" s="23" t="s">
        <v>5</v>
      </c>
    </row>
    <row r="16" spans="1:16" x14ac:dyDescent="0.2">
      <c r="A16" s="7" t="s">
        <v>114</v>
      </c>
      <c r="B16" s="8" t="s">
        <v>617</v>
      </c>
      <c r="C16" s="9">
        <v>2468</v>
      </c>
      <c r="D16" s="12" t="s">
        <v>607</v>
      </c>
      <c r="E16" s="13" t="s">
        <v>618</v>
      </c>
      <c r="F16" s="6">
        <v>972</v>
      </c>
      <c r="M16" s="20">
        <v>43283</v>
      </c>
      <c r="N16" s="23" t="s">
        <v>4</v>
      </c>
      <c r="O16" s="22">
        <v>363.83</v>
      </c>
      <c r="P16" s="23" t="s">
        <v>5</v>
      </c>
    </row>
    <row r="17" spans="1:16" x14ac:dyDescent="0.2">
      <c r="A17" s="7" t="s">
        <v>114</v>
      </c>
      <c r="B17" s="8" t="s">
        <v>619</v>
      </c>
      <c r="C17" s="9">
        <v>2634</v>
      </c>
      <c r="D17" s="12" t="s">
        <v>117</v>
      </c>
      <c r="E17" s="13" t="s">
        <v>620</v>
      </c>
      <c r="F17" s="6">
        <v>680</v>
      </c>
      <c r="M17" s="20">
        <v>43436</v>
      </c>
      <c r="N17" s="23" t="s">
        <v>91</v>
      </c>
      <c r="O17" s="22">
        <v>1670.4</v>
      </c>
      <c r="P17" s="23" t="s">
        <v>92</v>
      </c>
    </row>
    <row r="18" spans="1:16" x14ac:dyDescent="0.2">
      <c r="A18" s="7" t="s">
        <v>114</v>
      </c>
      <c r="B18" s="8" t="s">
        <v>621</v>
      </c>
      <c r="C18" s="9">
        <v>20</v>
      </c>
      <c r="D18" s="12" t="s">
        <v>117</v>
      </c>
      <c r="E18" s="13" t="s">
        <v>622</v>
      </c>
      <c r="F18" s="6">
        <v>1000</v>
      </c>
      <c r="M18" s="20">
        <v>43345</v>
      </c>
      <c r="N18" s="23" t="s">
        <v>4</v>
      </c>
      <c r="O18" s="22">
        <v>1014.13</v>
      </c>
      <c r="P18" s="23" t="s">
        <v>5</v>
      </c>
    </row>
    <row r="19" spans="1:16" x14ac:dyDescent="0.2">
      <c r="A19" s="12"/>
      <c r="B19" s="11" t="s">
        <v>623</v>
      </c>
      <c r="C19" s="6">
        <v>350</v>
      </c>
      <c r="D19" s="12" t="s">
        <v>115</v>
      </c>
      <c r="E19" s="13" t="s">
        <v>624</v>
      </c>
      <c r="F19" s="6">
        <v>1000</v>
      </c>
      <c r="M19" s="20">
        <v>43436</v>
      </c>
      <c r="N19" s="23" t="s">
        <v>4</v>
      </c>
      <c r="O19" s="22">
        <v>480.67</v>
      </c>
      <c r="P19" s="23" t="s">
        <v>5</v>
      </c>
    </row>
    <row r="20" spans="1:16" x14ac:dyDescent="0.2">
      <c r="A20" s="1"/>
      <c r="B20" s="14"/>
      <c r="C20" s="15"/>
      <c r="D20" s="12" t="s">
        <v>625</v>
      </c>
      <c r="E20" s="13" t="s">
        <v>626</v>
      </c>
      <c r="F20" s="6">
        <v>11218</v>
      </c>
      <c r="M20" s="20">
        <v>43436</v>
      </c>
      <c r="N20" s="23" t="s">
        <v>15</v>
      </c>
      <c r="O20" s="22">
        <v>846</v>
      </c>
      <c r="P20" s="23" t="s">
        <v>93</v>
      </c>
    </row>
    <row r="21" spans="1:16" x14ac:dyDescent="0.2">
      <c r="E21" s="14"/>
      <c r="F21" s="59"/>
      <c r="M21" s="20">
        <v>43436</v>
      </c>
      <c r="N21" s="23" t="s">
        <v>9</v>
      </c>
      <c r="O21" s="22">
        <v>2252</v>
      </c>
      <c r="P21" s="23" t="s">
        <v>94</v>
      </c>
    </row>
    <row r="22" spans="1:16" x14ac:dyDescent="0.2">
      <c r="M22" s="20" t="s">
        <v>95</v>
      </c>
      <c r="N22" s="23" t="s">
        <v>8</v>
      </c>
      <c r="O22" s="22">
        <v>3500</v>
      </c>
      <c r="P22" s="23" t="s">
        <v>96</v>
      </c>
    </row>
    <row r="23" spans="1:16" x14ac:dyDescent="0.2">
      <c r="M23" s="20" t="s">
        <v>97</v>
      </c>
      <c r="N23" s="23" t="s">
        <v>61</v>
      </c>
      <c r="O23" s="22">
        <v>3700.4</v>
      </c>
      <c r="P23" s="23" t="s">
        <v>100</v>
      </c>
    </row>
    <row r="24" spans="1:16" x14ac:dyDescent="0.2">
      <c r="M24" s="20" t="s">
        <v>97</v>
      </c>
      <c r="N24" s="23" t="s">
        <v>14</v>
      </c>
      <c r="O24" s="22">
        <v>52450.09</v>
      </c>
      <c r="P24" s="23" t="s">
        <v>101</v>
      </c>
    </row>
    <row r="25" spans="1:16" x14ac:dyDescent="0.2">
      <c r="M25" s="20" t="s">
        <v>97</v>
      </c>
      <c r="N25" s="23" t="s">
        <v>17</v>
      </c>
      <c r="O25" s="22">
        <v>8899.2099999999991</v>
      </c>
      <c r="P25" s="23" t="s">
        <v>102</v>
      </c>
    </row>
    <row r="26" spans="1:16" x14ac:dyDescent="0.2">
      <c r="M26" s="20" t="s">
        <v>97</v>
      </c>
      <c r="N26" s="23" t="s">
        <v>84</v>
      </c>
      <c r="O26" s="22">
        <v>553.32000000000005</v>
      </c>
      <c r="P26" s="23" t="s">
        <v>103</v>
      </c>
    </row>
    <row r="27" spans="1:16" x14ac:dyDescent="0.2">
      <c r="M27" s="20" t="s">
        <v>97</v>
      </c>
      <c r="N27" s="23" t="s">
        <v>98</v>
      </c>
      <c r="O27" s="22">
        <v>930</v>
      </c>
      <c r="P27" s="23" t="s">
        <v>104</v>
      </c>
    </row>
    <row r="28" spans="1:16" x14ac:dyDescent="0.2">
      <c r="M28" s="20" t="s">
        <v>97</v>
      </c>
      <c r="N28" s="23" t="s">
        <v>16</v>
      </c>
      <c r="O28" s="22">
        <v>1088.08</v>
      </c>
      <c r="P28" s="23" t="s">
        <v>105</v>
      </c>
    </row>
    <row r="29" spans="1:16" x14ac:dyDescent="0.2">
      <c r="M29" s="20" t="s">
        <v>97</v>
      </c>
      <c r="N29" s="23" t="s">
        <v>15</v>
      </c>
      <c r="O29" s="22">
        <v>5562.85</v>
      </c>
      <c r="P29" s="23" t="s">
        <v>106</v>
      </c>
    </row>
    <row r="30" spans="1:16" x14ac:dyDescent="0.2">
      <c r="M30" s="20" t="s">
        <v>97</v>
      </c>
      <c r="N30" s="23" t="s">
        <v>99</v>
      </c>
      <c r="O30" s="22">
        <v>1073.1400000000001</v>
      </c>
      <c r="P30" s="23" t="s">
        <v>107</v>
      </c>
    </row>
    <row r="31" spans="1:16" x14ac:dyDescent="0.2">
      <c r="M31" s="20" t="s">
        <v>97</v>
      </c>
      <c r="N31" s="23" t="s">
        <v>22</v>
      </c>
      <c r="O31" s="22">
        <v>1276</v>
      </c>
      <c r="P31" s="23" t="s">
        <v>108</v>
      </c>
    </row>
    <row r="32" spans="1:16" x14ac:dyDescent="0.2">
      <c r="D32" s="1"/>
      <c r="M32" s="20" t="s">
        <v>109</v>
      </c>
      <c r="N32" s="23" t="s">
        <v>4</v>
      </c>
      <c r="O32" s="22">
        <v>350.38</v>
      </c>
      <c r="P32" s="23" t="s">
        <v>5</v>
      </c>
    </row>
    <row r="33" spans="1:16" x14ac:dyDescent="0.2">
      <c r="A33" s="1"/>
      <c r="B33" s="1"/>
      <c r="C33" s="1"/>
      <c r="D33" s="1"/>
      <c r="M33" s="20" t="s">
        <v>109</v>
      </c>
      <c r="N33" s="23" t="s">
        <v>15</v>
      </c>
      <c r="O33" s="22">
        <v>122</v>
      </c>
      <c r="P33" s="23" t="s">
        <v>110</v>
      </c>
    </row>
    <row r="34" spans="1:16" x14ac:dyDescent="0.2">
      <c r="D34" s="1"/>
      <c r="M34" s="20" t="s">
        <v>111</v>
      </c>
      <c r="N34" s="23" t="s">
        <v>4</v>
      </c>
      <c r="O34" s="22">
        <v>1687.25</v>
      </c>
      <c r="P34" s="23" t="s">
        <v>5</v>
      </c>
    </row>
    <row r="35" spans="1:16" x14ac:dyDescent="0.2">
      <c r="D35" s="17"/>
      <c r="E35" s="1"/>
      <c r="M35" s="20" t="s">
        <v>112</v>
      </c>
      <c r="N35" s="23" t="s">
        <v>4</v>
      </c>
      <c r="O35" s="22">
        <v>182.33</v>
      </c>
      <c r="P35" s="23" t="s">
        <v>5</v>
      </c>
    </row>
    <row r="36" spans="1:16" x14ac:dyDescent="0.2">
      <c r="D36" s="17"/>
      <c r="E36" s="1"/>
      <c r="M36" s="20" t="s">
        <v>113</v>
      </c>
      <c r="N36" s="23" t="s">
        <v>4</v>
      </c>
      <c r="O36" s="22">
        <v>1801.63</v>
      </c>
      <c r="P36" s="23" t="s">
        <v>5</v>
      </c>
    </row>
    <row r="37" spans="1:16" x14ac:dyDescent="0.2">
      <c r="D37" s="17"/>
      <c r="E37" s="1"/>
      <c r="M37" s="20" t="s">
        <v>114</v>
      </c>
      <c r="N37" s="23" t="s">
        <v>4</v>
      </c>
      <c r="O37" s="22">
        <v>228.87</v>
      </c>
      <c r="P37" s="23" t="s">
        <v>5</v>
      </c>
    </row>
    <row r="38" spans="1:16" x14ac:dyDescent="0.2">
      <c r="D38" s="17"/>
      <c r="E38" s="1"/>
      <c r="M38" s="20" t="s">
        <v>115</v>
      </c>
      <c r="N38" s="23" t="s">
        <v>4</v>
      </c>
      <c r="O38" s="22">
        <v>1785.14</v>
      </c>
      <c r="P38" s="23" t="s">
        <v>5</v>
      </c>
    </row>
    <row r="39" spans="1:16" x14ac:dyDescent="0.2">
      <c r="D39" s="18"/>
      <c r="E39" s="1"/>
      <c r="M39" s="20" t="s">
        <v>112</v>
      </c>
      <c r="N39" s="23" t="s">
        <v>19</v>
      </c>
      <c r="O39" s="22">
        <v>3422</v>
      </c>
      <c r="P39" s="23" t="s">
        <v>123</v>
      </c>
    </row>
    <row r="40" spans="1:16" x14ac:dyDescent="0.2">
      <c r="D40" s="18"/>
      <c r="E40" s="1"/>
      <c r="M40" s="20" t="s">
        <v>115</v>
      </c>
      <c r="N40" s="23" t="s">
        <v>116</v>
      </c>
      <c r="O40" s="22">
        <v>4286.99</v>
      </c>
      <c r="P40" s="23" t="s">
        <v>124</v>
      </c>
    </row>
    <row r="41" spans="1:16" x14ac:dyDescent="0.2">
      <c r="D41" s="18"/>
      <c r="E41" s="1"/>
      <c r="M41" s="20" t="s">
        <v>117</v>
      </c>
      <c r="N41" s="23" t="s">
        <v>7</v>
      </c>
      <c r="O41" s="22">
        <v>11138</v>
      </c>
      <c r="P41" s="23" t="s">
        <v>41</v>
      </c>
    </row>
    <row r="42" spans="1:16" x14ac:dyDescent="0.2">
      <c r="D42" s="18"/>
      <c r="E42" s="1"/>
      <c r="M42" s="20" t="s">
        <v>115</v>
      </c>
      <c r="N42" s="23" t="s">
        <v>61</v>
      </c>
      <c r="O42" s="22">
        <v>3700.4</v>
      </c>
      <c r="P42" s="23" t="s">
        <v>125</v>
      </c>
    </row>
    <row r="43" spans="1:16" x14ac:dyDescent="0.2">
      <c r="D43" s="17"/>
      <c r="E43" s="1"/>
      <c r="M43" s="20" t="s">
        <v>112</v>
      </c>
      <c r="N43" s="23" t="s">
        <v>61</v>
      </c>
      <c r="O43" s="22">
        <v>3700.4</v>
      </c>
      <c r="P43" s="23" t="s">
        <v>126</v>
      </c>
    </row>
    <row r="44" spans="1:16" x14ac:dyDescent="0.2">
      <c r="A44" s="1"/>
      <c r="B44" s="1"/>
      <c r="C44" s="1"/>
      <c r="D44" s="17"/>
      <c r="E44" s="1"/>
      <c r="M44" s="20" t="s">
        <v>115</v>
      </c>
      <c r="N44" s="23" t="s">
        <v>23</v>
      </c>
      <c r="O44" s="22">
        <v>2320</v>
      </c>
      <c r="P44" s="23" t="s">
        <v>127</v>
      </c>
    </row>
    <row r="45" spans="1:16" x14ac:dyDescent="0.2">
      <c r="A45" s="1"/>
      <c r="B45" s="1"/>
      <c r="C45" s="1"/>
      <c r="D45" s="17"/>
      <c r="E45" s="1"/>
      <c r="M45" s="20" t="s">
        <v>113</v>
      </c>
      <c r="N45" s="23" t="s">
        <v>8</v>
      </c>
      <c r="O45" s="22">
        <v>3500</v>
      </c>
      <c r="P45" s="23" t="s">
        <v>128</v>
      </c>
    </row>
    <row r="46" spans="1:16" x14ac:dyDescent="0.2">
      <c r="A46" s="1"/>
      <c r="B46" s="1"/>
      <c r="C46" s="1"/>
      <c r="D46" s="17"/>
      <c r="E46" s="1"/>
      <c r="M46" s="20" t="s">
        <v>117</v>
      </c>
      <c r="N46" s="23" t="s">
        <v>118</v>
      </c>
      <c r="O46" s="22">
        <v>1148.4000000000001</v>
      </c>
      <c r="P46" s="23" t="s">
        <v>129</v>
      </c>
    </row>
    <row r="47" spans="1:16" x14ac:dyDescent="0.2">
      <c r="E47" s="1"/>
      <c r="M47" s="20" t="s">
        <v>112</v>
      </c>
      <c r="N47" s="23" t="s">
        <v>18</v>
      </c>
      <c r="O47" s="22">
        <v>12107</v>
      </c>
      <c r="P47" s="23" t="s">
        <v>130</v>
      </c>
    </row>
    <row r="48" spans="1:16" x14ac:dyDescent="0.2">
      <c r="E48" s="1"/>
      <c r="M48" s="20" t="s">
        <v>115</v>
      </c>
      <c r="N48" s="23" t="s">
        <v>119</v>
      </c>
      <c r="O48" s="22">
        <v>1044</v>
      </c>
      <c r="P48" s="23" t="s">
        <v>131</v>
      </c>
    </row>
    <row r="49" spans="5:16" x14ac:dyDescent="0.2">
      <c r="E49" s="1"/>
      <c r="M49" s="20" t="s">
        <v>120</v>
      </c>
      <c r="N49" s="24" t="s">
        <v>121</v>
      </c>
      <c r="O49" s="22">
        <v>3364</v>
      </c>
      <c r="P49" s="23" t="s">
        <v>132</v>
      </c>
    </row>
    <row r="50" spans="5:16" x14ac:dyDescent="0.2">
      <c r="E50" s="1"/>
      <c r="M50" s="20" t="s">
        <v>112</v>
      </c>
      <c r="N50" s="24" t="s">
        <v>122</v>
      </c>
      <c r="O50" s="22">
        <v>1332.41</v>
      </c>
      <c r="P50" s="23" t="s">
        <v>133</v>
      </c>
    </row>
    <row r="51" spans="5:16" x14ac:dyDescent="0.2">
      <c r="E51" s="1"/>
      <c r="M51" s="20" t="s">
        <v>112</v>
      </c>
      <c r="N51" s="23" t="s">
        <v>22</v>
      </c>
      <c r="O51" s="22">
        <v>8004</v>
      </c>
      <c r="P51" s="23" t="s">
        <v>134</v>
      </c>
    </row>
    <row r="52" spans="5:16" x14ac:dyDescent="0.2">
      <c r="E52" s="1"/>
      <c r="N52" s="25"/>
      <c r="O52" s="26"/>
    </row>
    <row r="53" spans="5:16" x14ac:dyDescent="0.2">
      <c r="E53" s="1"/>
    </row>
    <row r="54" spans="5:16" x14ac:dyDescent="0.2">
      <c r="E54" s="1"/>
    </row>
    <row r="55" spans="5:16" x14ac:dyDescent="0.2">
      <c r="E55" s="1"/>
    </row>
    <row r="56" spans="5:16" x14ac:dyDescent="0.2">
      <c r="E56" s="1"/>
    </row>
    <row r="57" spans="5:16" x14ac:dyDescent="0.2">
      <c r="E57" s="1"/>
    </row>
    <row r="58" spans="5:16" x14ac:dyDescent="0.2">
      <c r="E58" s="1"/>
    </row>
    <row r="59" spans="5:16" x14ac:dyDescent="0.2">
      <c r="E59" s="1"/>
    </row>
    <row r="60" spans="5:16" ht="17.25" customHeight="1" x14ac:dyDescent="0.2">
      <c r="E60" s="1"/>
    </row>
    <row r="61" spans="5:16" ht="17.25" customHeight="1" x14ac:dyDescent="0.2">
      <c r="E61" s="1"/>
    </row>
    <row r="62" spans="5:16" x14ac:dyDescent="0.2">
      <c r="E62" s="1"/>
    </row>
    <row r="63" spans="5:16" x14ac:dyDescent="0.2">
      <c r="E63" s="1"/>
    </row>
    <row r="64" spans="5:16" x14ac:dyDescent="0.2">
      <c r="E64" s="1"/>
    </row>
    <row r="65" spans="5:5" x14ac:dyDescent="0.2">
      <c r="E65" s="1"/>
    </row>
    <row r="98" spans="1:1" x14ac:dyDescent="0.2">
      <c r="A98" s="1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82"/>
  <sheetViews>
    <sheetView topLeftCell="C1" zoomScale="70" zoomScaleNormal="70" workbookViewId="0">
      <selection activeCell="M1" sqref="M1:P1"/>
    </sheetView>
  </sheetViews>
  <sheetFormatPr baseColWidth="10" defaultRowHeight="12" x14ac:dyDescent="0.2"/>
  <cols>
    <col min="1" max="1" width="10.7109375" style="2" customWidth="1"/>
    <col min="2" max="2" width="28.85546875" style="2" customWidth="1"/>
    <col min="3" max="3" width="12.28515625" style="2" bestFit="1" customWidth="1"/>
    <col min="4" max="4" width="9.85546875" style="2" bestFit="1" customWidth="1"/>
    <col min="5" max="16384" width="11.42578125" style="2"/>
  </cols>
  <sheetData>
    <row r="1" spans="1:16" x14ac:dyDescent="0.2">
      <c r="A1" s="1"/>
      <c r="B1" s="3" t="s">
        <v>0</v>
      </c>
      <c r="C1" s="3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35" t="s">
        <v>494</v>
      </c>
    </row>
    <row r="2" spans="1:16" x14ac:dyDescent="0.2">
      <c r="A2" s="4">
        <v>43223</v>
      </c>
      <c r="B2" s="5" t="s">
        <v>976</v>
      </c>
      <c r="C2" s="6">
        <v>17360.895</v>
      </c>
      <c r="D2" s="12">
        <v>43103</v>
      </c>
      <c r="E2" s="27" t="s">
        <v>559</v>
      </c>
      <c r="F2" s="6">
        <v>523</v>
      </c>
      <c r="G2" s="16">
        <v>43103</v>
      </c>
      <c r="H2" s="13" t="s">
        <v>560</v>
      </c>
      <c r="I2" s="6">
        <v>523</v>
      </c>
      <c r="J2" s="16">
        <v>43105</v>
      </c>
      <c r="K2" s="13" t="s">
        <v>561</v>
      </c>
      <c r="L2" s="6">
        <v>573</v>
      </c>
      <c r="M2" s="20">
        <v>43190</v>
      </c>
      <c r="N2" s="21" t="s">
        <v>4</v>
      </c>
      <c r="O2" s="22">
        <v>11407.39</v>
      </c>
      <c r="P2" s="23" t="s">
        <v>5</v>
      </c>
    </row>
    <row r="3" spans="1:16" x14ac:dyDescent="0.2">
      <c r="A3" s="7">
        <v>43223</v>
      </c>
      <c r="B3" s="8" t="s">
        <v>977</v>
      </c>
      <c r="C3" s="9">
        <v>1382</v>
      </c>
      <c r="D3" s="12">
        <v>43223</v>
      </c>
      <c r="E3" s="13" t="s">
        <v>978</v>
      </c>
      <c r="F3" s="6">
        <v>18008.397000000001</v>
      </c>
      <c r="G3" s="16">
        <v>43223</v>
      </c>
      <c r="H3" s="13" t="s">
        <v>979</v>
      </c>
      <c r="I3" s="6">
        <v>11635.91</v>
      </c>
      <c r="J3" s="16">
        <v>43223</v>
      </c>
      <c r="K3" s="13" t="s">
        <v>980</v>
      </c>
      <c r="L3" s="6">
        <v>9843.0400000000009</v>
      </c>
      <c r="M3" s="20" t="s">
        <v>76</v>
      </c>
      <c r="N3" s="21" t="s">
        <v>9</v>
      </c>
      <c r="O3" s="22">
        <v>588</v>
      </c>
      <c r="P3" s="23" t="s">
        <v>135</v>
      </c>
    </row>
    <row r="4" spans="1:16" x14ac:dyDescent="0.2">
      <c r="A4" s="7">
        <v>43284</v>
      </c>
      <c r="B4" s="10" t="s">
        <v>981</v>
      </c>
      <c r="C4" s="6">
        <v>950.97</v>
      </c>
      <c r="D4" s="12">
        <v>43254</v>
      </c>
      <c r="E4" s="13" t="s">
        <v>982</v>
      </c>
      <c r="F4" s="6">
        <v>3000</v>
      </c>
      <c r="G4" s="16">
        <v>43437</v>
      </c>
      <c r="H4" s="13" t="s">
        <v>983</v>
      </c>
      <c r="I4" s="6">
        <v>11954.47</v>
      </c>
      <c r="J4" s="16">
        <v>43254</v>
      </c>
      <c r="K4" s="13" t="s">
        <v>984</v>
      </c>
      <c r="L4" s="6">
        <v>142</v>
      </c>
      <c r="M4" s="20" t="s">
        <v>136</v>
      </c>
      <c r="N4" s="24" t="s">
        <v>13</v>
      </c>
      <c r="O4" s="22">
        <v>23200</v>
      </c>
      <c r="P4" s="23" t="s">
        <v>137</v>
      </c>
    </row>
    <row r="5" spans="1:16" x14ac:dyDescent="0.2">
      <c r="A5" s="7">
        <v>43284</v>
      </c>
      <c r="B5" s="11" t="s">
        <v>985</v>
      </c>
      <c r="C5" s="9">
        <v>275</v>
      </c>
      <c r="D5" s="12">
        <v>43315</v>
      </c>
      <c r="E5" s="13" t="s">
        <v>986</v>
      </c>
      <c r="F5" s="6">
        <v>426</v>
      </c>
      <c r="G5" s="16">
        <v>43437</v>
      </c>
      <c r="H5" s="13" t="s">
        <v>987</v>
      </c>
      <c r="I5" s="6">
        <v>42</v>
      </c>
      <c r="J5" s="16">
        <v>43254</v>
      </c>
      <c r="K5" s="13" t="s">
        <v>988</v>
      </c>
      <c r="L5" s="6">
        <v>300</v>
      </c>
      <c r="M5" s="20" t="s">
        <v>138</v>
      </c>
      <c r="N5" s="24" t="s">
        <v>8</v>
      </c>
      <c r="O5" s="22">
        <v>3500</v>
      </c>
      <c r="P5" s="23" t="s">
        <v>140</v>
      </c>
    </row>
    <row r="6" spans="1:16" x14ac:dyDescent="0.2">
      <c r="A6" s="7">
        <v>43315</v>
      </c>
      <c r="B6" s="11" t="s">
        <v>989</v>
      </c>
      <c r="C6" s="9">
        <v>4000</v>
      </c>
      <c r="D6" s="12">
        <v>43437</v>
      </c>
      <c r="E6" s="13" t="s">
        <v>990</v>
      </c>
      <c r="F6" s="6">
        <v>15572.637000000001</v>
      </c>
      <c r="G6" s="16" t="s">
        <v>991</v>
      </c>
      <c r="H6" s="13" t="s">
        <v>992</v>
      </c>
      <c r="I6" s="6">
        <v>11496.58</v>
      </c>
      <c r="J6" s="16">
        <v>43284</v>
      </c>
      <c r="K6" s="13" t="s">
        <v>993</v>
      </c>
      <c r="L6" s="6">
        <v>8064</v>
      </c>
      <c r="M6" s="20" t="s">
        <v>139</v>
      </c>
      <c r="N6" s="24" t="s">
        <v>9</v>
      </c>
      <c r="O6" s="22">
        <v>658</v>
      </c>
      <c r="P6" s="23" t="s">
        <v>141</v>
      </c>
    </row>
    <row r="7" spans="1:16" x14ac:dyDescent="0.2">
      <c r="A7" s="7">
        <v>43437</v>
      </c>
      <c r="B7" s="11" t="s">
        <v>994</v>
      </c>
      <c r="C7" s="9">
        <v>17439.465</v>
      </c>
      <c r="D7" s="12">
        <v>43437</v>
      </c>
      <c r="E7" s="13" t="s">
        <v>995</v>
      </c>
      <c r="F7" s="6">
        <v>142</v>
      </c>
      <c r="G7" s="16" t="s">
        <v>179</v>
      </c>
      <c r="H7" s="13" t="s">
        <v>996</v>
      </c>
      <c r="I7" s="6">
        <v>749</v>
      </c>
      <c r="J7" s="28">
        <v>43437</v>
      </c>
      <c r="K7" s="13" t="s">
        <v>997</v>
      </c>
      <c r="L7" s="6">
        <v>10228.75</v>
      </c>
      <c r="M7" s="20" t="s">
        <v>142</v>
      </c>
      <c r="N7" s="21" t="s">
        <v>61</v>
      </c>
      <c r="O7" s="22">
        <v>3700.4</v>
      </c>
      <c r="P7" s="23" t="s">
        <v>146</v>
      </c>
    </row>
    <row r="8" spans="1:16" x14ac:dyDescent="0.2">
      <c r="A8" s="7">
        <v>43437</v>
      </c>
      <c r="B8" s="11" t="s">
        <v>998</v>
      </c>
      <c r="C8" s="9">
        <v>1382</v>
      </c>
      <c r="D8" s="7" t="s">
        <v>161</v>
      </c>
      <c r="E8" s="13" t="s">
        <v>999</v>
      </c>
      <c r="F8" s="6">
        <v>842</v>
      </c>
      <c r="G8" s="16" t="s">
        <v>178</v>
      </c>
      <c r="H8" s="13" t="s">
        <v>1000</v>
      </c>
      <c r="I8" s="6">
        <v>12614.47</v>
      </c>
      <c r="J8" s="28" t="s">
        <v>991</v>
      </c>
      <c r="K8" s="13" t="s">
        <v>1001</v>
      </c>
      <c r="L8" s="6">
        <v>10085.89</v>
      </c>
      <c r="M8" s="20" t="s">
        <v>142</v>
      </c>
      <c r="N8" s="24" t="s">
        <v>20</v>
      </c>
      <c r="O8" s="22">
        <v>510</v>
      </c>
      <c r="P8" s="23" t="s">
        <v>147</v>
      </c>
    </row>
    <row r="9" spans="1:16" x14ac:dyDescent="0.2">
      <c r="A9" s="7" t="s">
        <v>158</v>
      </c>
      <c r="B9" s="11" t="s">
        <v>1002</v>
      </c>
      <c r="C9" s="9">
        <v>160</v>
      </c>
      <c r="D9" s="7" t="s">
        <v>161</v>
      </c>
      <c r="E9" s="13" t="s">
        <v>1003</v>
      </c>
      <c r="F9" s="6">
        <v>4040</v>
      </c>
      <c r="G9" s="16" t="s">
        <v>1004</v>
      </c>
      <c r="H9" s="13" t="s">
        <v>560</v>
      </c>
      <c r="I9" s="6">
        <v>523</v>
      </c>
      <c r="J9" s="28" t="s">
        <v>178</v>
      </c>
      <c r="K9" s="13" t="s">
        <v>1005</v>
      </c>
      <c r="L9" s="6">
        <v>8818</v>
      </c>
      <c r="M9" s="20" t="s">
        <v>142</v>
      </c>
      <c r="N9" s="24" t="s">
        <v>10</v>
      </c>
      <c r="O9" s="22">
        <v>2204</v>
      </c>
      <c r="P9" s="23" t="s">
        <v>148</v>
      </c>
    </row>
    <row r="10" spans="1:16" x14ac:dyDescent="0.2">
      <c r="A10" s="7" t="s">
        <v>158</v>
      </c>
      <c r="B10" s="8" t="s">
        <v>1006</v>
      </c>
      <c r="C10" s="6">
        <v>1131</v>
      </c>
      <c r="D10" s="7" t="s">
        <v>1007</v>
      </c>
      <c r="E10" s="13" t="s">
        <v>1008</v>
      </c>
      <c r="F10" s="6">
        <v>192</v>
      </c>
      <c r="G10" s="1"/>
      <c r="H10" s="14"/>
      <c r="I10" s="15"/>
      <c r="J10" s="28" t="s">
        <v>1004</v>
      </c>
      <c r="K10" s="13" t="s">
        <v>561</v>
      </c>
      <c r="L10" s="6">
        <v>573</v>
      </c>
      <c r="M10" s="20" t="s">
        <v>143</v>
      </c>
      <c r="N10" s="24" t="s">
        <v>144</v>
      </c>
      <c r="O10" s="22">
        <v>3480</v>
      </c>
      <c r="P10" s="23" t="s">
        <v>149</v>
      </c>
    </row>
    <row r="11" spans="1:16" x14ac:dyDescent="0.2">
      <c r="A11" s="7" t="s">
        <v>1009</v>
      </c>
      <c r="B11" s="8" t="s">
        <v>1010</v>
      </c>
      <c r="C11" s="9">
        <v>200</v>
      </c>
      <c r="D11" s="12" t="s">
        <v>991</v>
      </c>
      <c r="E11" s="13" t="s">
        <v>1011</v>
      </c>
      <c r="F11" s="6">
        <v>17303.377</v>
      </c>
      <c r="J11" s="1"/>
      <c r="K11" s="14"/>
      <c r="L11" s="15"/>
      <c r="M11" s="20" t="s">
        <v>142</v>
      </c>
      <c r="N11" s="23" t="s">
        <v>145</v>
      </c>
      <c r="O11" s="22">
        <v>3306</v>
      </c>
      <c r="P11" s="23" t="s">
        <v>150</v>
      </c>
    </row>
    <row r="12" spans="1:16" x14ac:dyDescent="0.2">
      <c r="A12" s="7" t="s">
        <v>1009</v>
      </c>
      <c r="B12" s="8" t="s">
        <v>680</v>
      </c>
      <c r="C12" s="9">
        <v>1000</v>
      </c>
      <c r="D12" s="12" t="s">
        <v>991</v>
      </c>
      <c r="E12" s="13" t="s">
        <v>1012</v>
      </c>
      <c r="F12" s="6">
        <v>1300</v>
      </c>
      <c r="M12" s="20" t="s">
        <v>151</v>
      </c>
      <c r="N12" s="21" t="s">
        <v>7</v>
      </c>
      <c r="O12" s="22">
        <v>4715</v>
      </c>
      <c r="P12" s="23" t="s">
        <v>154</v>
      </c>
    </row>
    <row r="13" spans="1:16" x14ac:dyDescent="0.2">
      <c r="A13" s="7" t="s">
        <v>991</v>
      </c>
      <c r="B13" s="8" t="s">
        <v>1013</v>
      </c>
      <c r="C13" s="9">
        <v>16632.314999999999</v>
      </c>
      <c r="D13" s="12" t="s">
        <v>991</v>
      </c>
      <c r="E13" s="13" t="s">
        <v>1014</v>
      </c>
      <c r="F13" s="6">
        <v>500</v>
      </c>
      <c r="M13" s="20" t="s">
        <v>151</v>
      </c>
      <c r="N13" s="21" t="s">
        <v>8</v>
      </c>
      <c r="O13" s="22">
        <v>4000</v>
      </c>
      <c r="P13" s="23" t="s">
        <v>28</v>
      </c>
    </row>
    <row r="14" spans="1:16" x14ac:dyDescent="0.2">
      <c r="A14" s="7" t="s">
        <v>991</v>
      </c>
      <c r="B14" s="8" t="s">
        <v>1015</v>
      </c>
      <c r="C14" s="9">
        <v>1382</v>
      </c>
      <c r="D14" s="12" t="s">
        <v>173</v>
      </c>
      <c r="E14" s="13" t="s">
        <v>1016</v>
      </c>
      <c r="F14" s="6">
        <v>171</v>
      </c>
      <c r="M14" s="20" t="s">
        <v>152</v>
      </c>
      <c r="N14" s="23" t="s">
        <v>98</v>
      </c>
      <c r="O14" s="22">
        <v>930</v>
      </c>
      <c r="P14" s="23" t="s">
        <v>155</v>
      </c>
    </row>
    <row r="15" spans="1:16" x14ac:dyDescent="0.2">
      <c r="A15" s="7" t="s">
        <v>991</v>
      </c>
      <c r="B15" s="8" t="s">
        <v>1017</v>
      </c>
      <c r="C15" s="9">
        <v>857</v>
      </c>
      <c r="D15" s="12" t="s">
        <v>178</v>
      </c>
      <c r="E15" s="13" t="s">
        <v>1018</v>
      </c>
      <c r="F15" s="6">
        <v>19900.386999999999</v>
      </c>
      <c r="M15" s="20" t="s">
        <v>152</v>
      </c>
      <c r="N15" s="23" t="s">
        <v>153</v>
      </c>
      <c r="O15" s="22">
        <v>875</v>
      </c>
      <c r="P15" s="23" t="s">
        <v>156</v>
      </c>
    </row>
    <row r="16" spans="1:16" x14ac:dyDescent="0.2">
      <c r="A16" s="7" t="s">
        <v>179</v>
      </c>
      <c r="B16" s="8" t="s">
        <v>1019</v>
      </c>
      <c r="C16" s="9">
        <v>429</v>
      </c>
      <c r="D16" s="12" t="s">
        <v>178</v>
      </c>
      <c r="E16" s="13" t="s">
        <v>1020</v>
      </c>
      <c r="F16" s="6">
        <v>260</v>
      </c>
      <c r="M16" s="20" t="s">
        <v>151</v>
      </c>
      <c r="N16" s="23" t="s">
        <v>9</v>
      </c>
      <c r="O16" s="22">
        <v>2231</v>
      </c>
      <c r="P16" s="23" t="s">
        <v>157</v>
      </c>
    </row>
    <row r="17" spans="1:16" x14ac:dyDescent="0.2">
      <c r="A17" s="7" t="s">
        <v>625</v>
      </c>
      <c r="B17" s="8" t="s">
        <v>1021</v>
      </c>
      <c r="C17" s="9">
        <v>183</v>
      </c>
      <c r="D17" s="12" t="s">
        <v>1004</v>
      </c>
      <c r="E17" s="13" t="s">
        <v>559</v>
      </c>
      <c r="F17" s="6">
        <v>591</v>
      </c>
      <c r="M17" s="20" t="s">
        <v>158</v>
      </c>
      <c r="N17" s="23" t="s">
        <v>159</v>
      </c>
      <c r="O17" s="22">
        <v>8212.7999999999993</v>
      </c>
      <c r="P17" s="23" t="s">
        <v>164</v>
      </c>
    </row>
    <row r="18" spans="1:16" x14ac:dyDescent="0.2">
      <c r="A18" s="7" t="s">
        <v>178</v>
      </c>
      <c r="B18" s="8" t="s">
        <v>1022</v>
      </c>
      <c r="C18" s="9">
        <v>18603.145</v>
      </c>
      <c r="D18" s="1"/>
      <c r="E18" s="14"/>
      <c r="F18" s="15"/>
      <c r="M18" s="20" t="s">
        <v>158</v>
      </c>
      <c r="N18" s="23" t="s">
        <v>61</v>
      </c>
      <c r="O18" s="22">
        <v>3700.4</v>
      </c>
      <c r="P18" s="23" t="s">
        <v>165</v>
      </c>
    </row>
    <row r="19" spans="1:16" x14ac:dyDescent="0.2">
      <c r="A19" s="7" t="s">
        <v>178</v>
      </c>
      <c r="B19" s="8" t="s">
        <v>1023</v>
      </c>
      <c r="C19" s="9">
        <v>1382</v>
      </c>
      <c r="M19" s="20" t="s">
        <v>158</v>
      </c>
      <c r="N19" s="23" t="s">
        <v>160</v>
      </c>
      <c r="O19" s="22">
        <v>2900</v>
      </c>
      <c r="P19" s="23" t="s">
        <v>166</v>
      </c>
    </row>
    <row r="20" spans="1:16" x14ac:dyDescent="0.2">
      <c r="A20" s="7" t="s">
        <v>178</v>
      </c>
      <c r="B20" s="8" t="s">
        <v>1024</v>
      </c>
      <c r="C20" s="9">
        <v>1100</v>
      </c>
      <c r="M20" s="20" t="s">
        <v>161</v>
      </c>
      <c r="N20" s="23" t="s">
        <v>14</v>
      </c>
      <c r="O20" s="22">
        <v>52450.09</v>
      </c>
      <c r="P20" s="23" t="s">
        <v>167</v>
      </c>
    </row>
    <row r="21" spans="1:16" x14ac:dyDescent="0.2">
      <c r="A21" s="7" t="s">
        <v>178</v>
      </c>
      <c r="B21" s="8" t="s">
        <v>1025</v>
      </c>
      <c r="C21" s="9">
        <v>1678</v>
      </c>
      <c r="M21" s="20" t="s">
        <v>158</v>
      </c>
      <c r="N21" s="23" t="s">
        <v>17</v>
      </c>
      <c r="O21" s="22">
        <v>25163.03</v>
      </c>
      <c r="P21" s="23" t="s">
        <v>168</v>
      </c>
    </row>
    <row r="22" spans="1:16" x14ac:dyDescent="0.2">
      <c r="A22" s="29" t="s">
        <v>176</v>
      </c>
      <c r="B22" s="30" t="s">
        <v>1026</v>
      </c>
      <c r="C22" s="31">
        <v>546</v>
      </c>
      <c r="D22" s="32"/>
      <c r="M22" s="20" t="s">
        <v>158</v>
      </c>
      <c r="N22" s="23" t="s">
        <v>162</v>
      </c>
      <c r="O22" s="22">
        <v>3239.88</v>
      </c>
      <c r="P22" s="23" t="s">
        <v>169</v>
      </c>
    </row>
    <row r="23" spans="1:16" x14ac:dyDescent="0.2">
      <c r="A23" s="12">
        <v>43396</v>
      </c>
      <c r="B23" s="11" t="s">
        <v>1027</v>
      </c>
      <c r="C23" s="6">
        <v>350</v>
      </c>
      <c r="M23" s="20" t="s">
        <v>161</v>
      </c>
      <c r="N23" s="23" t="s">
        <v>7</v>
      </c>
      <c r="O23" s="22">
        <v>5562</v>
      </c>
      <c r="P23" s="23" t="s">
        <v>170</v>
      </c>
    </row>
    <row r="24" spans="1:16" x14ac:dyDescent="0.2">
      <c r="A24" s="1"/>
      <c r="B24" s="14"/>
      <c r="C24" s="15"/>
      <c r="M24" s="20" t="s">
        <v>158</v>
      </c>
      <c r="N24" s="23" t="s">
        <v>122</v>
      </c>
      <c r="O24" s="22">
        <v>458.52</v>
      </c>
      <c r="P24" s="23" t="s">
        <v>171</v>
      </c>
    </row>
    <row r="25" spans="1:16" x14ac:dyDescent="0.2">
      <c r="A25" s="1"/>
      <c r="B25" s="1"/>
      <c r="C25" s="1"/>
      <c r="M25" s="20" t="s">
        <v>161</v>
      </c>
      <c r="N25" s="23" t="s">
        <v>163</v>
      </c>
      <c r="O25" s="22">
        <v>77.72</v>
      </c>
      <c r="P25" s="23" t="s">
        <v>12</v>
      </c>
    </row>
    <row r="26" spans="1:16" x14ac:dyDescent="0.2">
      <c r="M26" s="20" t="s">
        <v>172</v>
      </c>
      <c r="N26" s="23" t="s">
        <v>61</v>
      </c>
      <c r="O26" s="22">
        <v>3700.4</v>
      </c>
      <c r="P26" s="23" t="s">
        <v>174</v>
      </c>
    </row>
    <row r="27" spans="1:16" x14ac:dyDescent="0.2">
      <c r="M27" s="20" t="s">
        <v>173</v>
      </c>
      <c r="N27" s="23" t="s">
        <v>8</v>
      </c>
      <c r="O27" s="22">
        <v>4000</v>
      </c>
      <c r="P27" s="23" t="s">
        <v>89</v>
      </c>
    </row>
    <row r="28" spans="1:16" x14ac:dyDescent="0.2">
      <c r="M28" s="20" t="s">
        <v>173</v>
      </c>
      <c r="N28" s="23" t="s">
        <v>18</v>
      </c>
      <c r="O28" s="22">
        <v>15585</v>
      </c>
      <c r="P28" s="23" t="s">
        <v>175</v>
      </c>
    </row>
    <row r="29" spans="1:16" x14ac:dyDescent="0.2">
      <c r="M29" s="20" t="s">
        <v>176</v>
      </c>
      <c r="N29" s="23" t="s">
        <v>177</v>
      </c>
      <c r="O29" s="22">
        <v>14500</v>
      </c>
      <c r="P29" s="23" t="s">
        <v>182</v>
      </c>
    </row>
    <row r="30" spans="1:16" x14ac:dyDescent="0.2">
      <c r="M30" s="20" t="s">
        <v>176</v>
      </c>
      <c r="N30" s="23" t="s">
        <v>61</v>
      </c>
      <c r="O30" s="22">
        <v>3700.4</v>
      </c>
      <c r="P30" s="23" t="s">
        <v>183</v>
      </c>
    </row>
    <row r="31" spans="1:16" x14ac:dyDescent="0.2">
      <c r="M31" s="20" t="s">
        <v>176</v>
      </c>
      <c r="N31" s="23" t="s">
        <v>20</v>
      </c>
      <c r="O31" s="22">
        <v>1019.99</v>
      </c>
      <c r="P31" s="23" t="s">
        <v>184</v>
      </c>
    </row>
    <row r="32" spans="1:16" x14ac:dyDescent="0.2">
      <c r="M32" s="20" t="s">
        <v>176</v>
      </c>
      <c r="N32" s="23" t="s">
        <v>23</v>
      </c>
      <c r="O32" s="22">
        <v>2320</v>
      </c>
      <c r="P32" s="23" t="s">
        <v>185</v>
      </c>
    </row>
    <row r="33" spans="1:16" x14ac:dyDescent="0.2">
      <c r="M33" s="20" t="s">
        <v>178</v>
      </c>
      <c r="N33" s="23" t="s">
        <v>8</v>
      </c>
      <c r="O33" s="22">
        <v>4000</v>
      </c>
      <c r="P33" s="23" t="s">
        <v>28</v>
      </c>
    </row>
    <row r="34" spans="1:16" x14ac:dyDescent="0.2">
      <c r="M34" s="20" t="s">
        <v>176</v>
      </c>
      <c r="N34" s="23" t="s">
        <v>8</v>
      </c>
      <c r="O34" s="22">
        <v>4000</v>
      </c>
      <c r="P34" s="23" t="s">
        <v>186</v>
      </c>
    </row>
    <row r="35" spans="1:16" x14ac:dyDescent="0.2">
      <c r="M35" s="20" t="s">
        <v>176</v>
      </c>
      <c r="N35" s="23" t="s">
        <v>84</v>
      </c>
      <c r="O35" s="22">
        <v>2674.38</v>
      </c>
      <c r="P35" s="23" t="s">
        <v>187</v>
      </c>
    </row>
    <row r="36" spans="1:16" x14ac:dyDescent="0.2">
      <c r="M36" s="20" t="s">
        <v>176</v>
      </c>
      <c r="N36" s="23" t="s">
        <v>144</v>
      </c>
      <c r="O36" s="22">
        <v>3480</v>
      </c>
      <c r="P36" s="23" t="s">
        <v>188</v>
      </c>
    </row>
    <row r="37" spans="1:16" x14ac:dyDescent="0.2">
      <c r="M37" s="20" t="s">
        <v>179</v>
      </c>
      <c r="N37" s="23" t="s">
        <v>180</v>
      </c>
      <c r="O37" s="22">
        <v>6000</v>
      </c>
      <c r="P37" s="23" t="s">
        <v>189</v>
      </c>
    </row>
    <row r="38" spans="1:16" x14ac:dyDescent="0.2">
      <c r="M38" s="20" t="s">
        <v>176</v>
      </c>
      <c r="N38" s="23" t="s">
        <v>181</v>
      </c>
      <c r="O38" s="22">
        <v>2988.83</v>
      </c>
      <c r="P38" s="23" t="s">
        <v>190</v>
      </c>
    </row>
    <row r="39" spans="1:16" x14ac:dyDescent="0.2">
      <c r="M39" s="20" t="s">
        <v>179</v>
      </c>
      <c r="N39" s="23" t="s">
        <v>9</v>
      </c>
      <c r="O39" s="22">
        <v>589</v>
      </c>
      <c r="P39" s="23" t="s">
        <v>191</v>
      </c>
    </row>
    <row r="40" spans="1:16" x14ac:dyDescent="0.2">
      <c r="M40" s="20">
        <v>43190</v>
      </c>
      <c r="N40" s="23" t="s">
        <v>19</v>
      </c>
      <c r="O40" s="22">
        <v>3422</v>
      </c>
      <c r="P40" s="23" t="s">
        <v>192</v>
      </c>
    </row>
    <row r="41" spans="1:16" x14ac:dyDescent="0.2">
      <c r="M41" s="1"/>
      <c r="N41" s="25"/>
      <c r="O41" s="26"/>
    </row>
    <row r="44" spans="1:16" x14ac:dyDescent="0.2">
      <c r="A44" s="1"/>
      <c r="B44" s="1"/>
      <c r="C44" s="1"/>
    </row>
    <row r="51" spans="1:5" x14ac:dyDescent="0.2">
      <c r="D51" s="2">
        <v>2940</v>
      </c>
    </row>
    <row r="54" spans="1:5" x14ac:dyDescent="0.2">
      <c r="D54" s="17"/>
      <c r="E54" s="1"/>
    </row>
    <row r="55" spans="1:5" x14ac:dyDescent="0.2">
      <c r="A55" s="1"/>
      <c r="B55" s="1"/>
      <c r="C55" s="1"/>
      <c r="D55" s="17"/>
      <c r="E55" s="1"/>
    </row>
    <row r="56" spans="1:5" x14ac:dyDescent="0.2">
      <c r="D56" s="17"/>
      <c r="E56" s="1"/>
    </row>
    <row r="57" spans="1:5" x14ac:dyDescent="0.2">
      <c r="D57" s="17"/>
      <c r="E57" s="1"/>
    </row>
    <row r="58" spans="1:5" x14ac:dyDescent="0.2">
      <c r="D58" s="17"/>
      <c r="E58" s="1"/>
    </row>
    <row r="59" spans="1:5" x14ac:dyDescent="0.2">
      <c r="D59" s="17"/>
      <c r="E59" s="1"/>
    </row>
    <row r="60" spans="1:5" x14ac:dyDescent="0.2">
      <c r="D60" s="17"/>
      <c r="E60" s="1"/>
    </row>
    <row r="61" spans="1:5" x14ac:dyDescent="0.2">
      <c r="D61" s="17"/>
      <c r="E61" s="1"/>
    </row>
    <row r="62" spans="1:5" x14ac:dyDescent="0.2">
      <c r="D62" s="18"/>
      <c r="E62" s="1"/>
    </row>
    <row r="63" spans="1:5" x14ac:dyDescent="0.2">
      <c r="D63" s="18"/>
      <c r="E63" s="1"/>
    </row>
    <row r="64" spans="1:5" x14ac:dyDescent="0.2">
      <c r="D64" s="18"/>
      <c r="E64" s="1"/>
    </row>
    <row r="65" spans="1:5" x14ac:dyDescent="0.2">
      <c r="D65" s="18"/>
      <c r="E65" s="1"/>
    </row>
    <row r="66" spans="1:5" s="34" customFormat="1" x14ac:dyDescent="0.2">
      <c r="D66" s="17"/>
      <c r="E66" s="33"/>
    </row>
    <row r="67" spans="1:5" x14ac:dyDescent="0.2">
      <c r="A67" s="33"/>
      <c r="B67" s="33"/>
      <c r="C67" s="33"/>
      <c r="D67" s="17"/>
      <c r="E67" s="1"/>
    </row>
    <row r="68" spans="1:5" x14ac:dyDescent="0.2">
      <c r="A68" s="33"/>
      <c r="B68" s="33"/>
      <c r="C68" s="33"/>
      <c r="D68" s="17"/>
      <c r="E68" s="1"/>
    </row>
    <row r="69" spans="1:5" x14ac:dyDescent="0.2">
      <c r="A69" s="1"/>
      <c r="B69" s="1"/>
      <c r="C69" s="1"/>
      <c r="D69" s="17"/>
      <c r="E69" s="1"/>
    </row>
    <row r="70" spans="1:5" x14ac:dyDescent="0.2">
      <c r="E70" s="1"/>
    </row>
    <row r="71" spans="1:5" x14ac:dyDescent="0.2">
      <c r="E71" s="1"/>
    </row>
    <row r="72" spans="1:5" x14ac:dyDescent="0.2">
      <c r="E72" s="1"/>
    </row>
    <row r="73" spans="1:5" x14ac:dyDescent="0.2">
      <c r="E73" s="1"/>
    </row>
    <row r="74" spans="1:5" x14ac:dyDescent="0.2">
      <c r="E74" s="1"/>
    </row>
    <row r="75" spans="1:5" x14ac:dyDescent="0.2">
      <c r="E75" s="1"/>
    </row>
    <row r="76" spans="1:5" x14ac:dyDescent="0.2">
      <c r="E76" s="1"/>
    </row>
    <row r="77" spans="1:5" ht="17.25" customHeight="1" x14ac:dyDescent="0.2">
      <c r="E77" s="1"/>
    </row>
    <row r="78" spans="1:5" ht="17.25" customHeight="1" x14ac:dyDescent="0.2">
      <c r="E78" s="1"/>
    </row>
    <row r="79" spans="1:5" x14ac:dyDescent="0.2">
      <c r="E79" s="1"/>
    </row>
    <row r="80" spans="1:5" x14ac:dyDescent="0.2">
      <c r="E80" s="1"/>
    </row>
    <row r="81" spans="5:5" x14ac:dyDescent="0.2">
      <c r="E81" s="1"/>
    </row>
    <row r="82" spans="5:5" x14ac:dyDescent="0.2">
      <c r="E82" s="1"/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74"/>
  <sheetViews>
    <sheetView zoomScale="55" zoomScaleNormal="55" workbookViewId="0">
      <selection activeCell="J13" sqref="J13"/>
    </sheetView>
  </sheetViews>
  <sheetFormatPr baseColWidth="10" defaultRowHeight="12" x14ac:dyDescent="0.2"/>
  <cols>
    <col min="1" max="1" width="10.7109375" style="2" customWidth="1"/>
    <col min="2" max="2" width="18.5703125" style="2" customWidth="1"/>
    <col min="3" max="3" width="12.28515625" style="2" bestFit="1" customWidth="1"/>
    <col min="4" max="4" width="10.28515625" style="2" bestFit="1" customWidth="1"/>
    <col min="5" max="5" width="11.42578125" style="2"/>
    <col min="6" max="6" width="12" style="2" bestFit="1" customWidth="1"/>
    <col min="7" max="16384" width="11.42578125" style="2"/>
  </cols>
  <sheetData>
    <row r="1" spans="1:16" x14ac:dyDescent="0.2">
      <c r="A1" s="1"/>
      <c r="B1" s="3" t="s">
        <v>0</v>
      </c>
      <c r="C1" s="3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35" t="s">
        <v>494</v>
      </c>
    </row>
    <row r="2" spans="1:16" x14ac:dyDescent="0.2">
      <c r="A2" s="4">
        <v>43192</v>
      </c>
      <c r="B2" s="5" t="s">
        <v>627</v>
      </c>
      <c r="C2" s="6">
        <v>19660.884999999998</v>
      </c>
      <c r="D2" s="12">
        <v>43135</v>
      </c>
      <c r="E2" s="27" t="s">
        <v>628</v>
      </c>
      <c r="F2" s="6">
        <v>23930.307000000001</v>
      </c>
      <c r="G2" s="16">
        <v>43135</v>
      </c>
      <c r="H2" s="13" t="s">
        <v>629</v>
      </c>
      <c r="I2" s="6">
        <v>13321.62</v>
      </c>
      <c r="J2" s="16">
        <v>43135</v>
      </c>
      <c r="K2" s="13" t="s">
        <v>630</v>
      </c>
      <c r="L2" s="6">
        <v>9943.02</v>
      </c>
      <c r="M2" s="20" t="s">
        <v>193</v>
      </c>
      <c r="N2" s="21" t="s">
        <v>4</v>
      </c>
      <c r="O2" s="22">
        <v>10631.17</v>
      </c>
      <c r="P2" s="23" t="s">
        <v>5</v>
      </c>
    </row>
    <row r="3" spans="1:16" x14ac:dyDescent="0.2">
      <c r="A3" s="7">
        <v>43192</v>
      </c>
      <c r="B3" s="8" t="s">
        <v>631</v>
      </c>
      <c r="C3" s="9">
        <v>1382</v>
      </c>
      <c r="D3" s="12">
        <v>43135</v>
      </c>
      <c r="E3" s="13" t="s">
        <v>632</v>
      </c>
      <c r="F3" s="6">
        <v>800</v>
      </c>
      <c r="G3" s="16">
        <v>43348</v>
      </c>
      <c r="H3" s="13" t="s">
        <v>633</v>
      </c>
      <c r="I3" s="6">
        <v>10673.89</v>
      </c>
      <c r="J3" s="16">
        <v>43348</v>
      </c>
      <c r="K3" s="13" t="s">
        <v>634</v>
      </c>
      <c r="L3" s="6">
        <v>6857.35</v>
      </c>
      <c r="M3" s="20">
        <v>43224</v>
      </c>
      <c r="N3" s="21" t="s">
        <v>19</v>
      </c>
      <c r="O3" s="22">
        <v>3422</v>
      </c>
      <c r="P3" s="23" t="s">
        <v>192</v>
      </c>
    </row>
    <row r="4" spans="1:16" x14ac:dyDescent="0.2">
      <c r="A4" s="7">
        <v>43192</v>
      </c>
      <c r="B4" s="10" t="s">
        <v>635</v>
      </c>
      <c r="C4" s="6">
        <v>2974</v>
      </c>
      <c r="D4" s="12">
        <v>43135</v>
      </c>
      <c r="E4" s="13" t="s">
        <v>636</v>
      </c>
      <c r="F4" s="6">
        <v>932</v>
      </c>
      <c r="G4" s="16" t="s">
        <v>637</v>
      </c>
      <c r="H4" s="13" t="s">
        <v>638</v>
      </c>
      <c r="I4" s="6">
        <v>800</v>
      </c>
      <c r="J4" s="16" t="s">
        <v>639</v>
      </c>
      <c r="K4" s="13" t="s">
        <v>640</v>
      </c>
      <c r="L4" s="6">
        <v>8693</v>
      </c>
      <c r="M4" s="20">
        <v>43224</v>
      </c>
      <c r="N4" s="24" t="s">
        <v>61</v>
      </c>
      <c r="O4" s="22">
        <v>3700.4</v>
      </c>
      <c r="P4" s="23" t="s">
        <v>194</v>
      </c>
    </row>
    <row r="5" spans="1:16" x14ac:dyDescent="0.2">
      <c r="A5" s="7">
        <v>43196</v>
      </c>
      <c r="B5" s="11" t="s">
        <v>641</v>
      </c>
      <c r="C5" s="9">
        <v>1000</v>
      </c>
      <c r="D5" s="12">
        <v>43135</v>
      </c>
      <c r="E5" s="13" t="s">
        <v>642</v>
      </c>
      <c r="F5" s="6">
        <v>300</v>
      </c>
      <c r="G5" s="16" t="s">
        <v>639</v>
      </c>
      <c r="H5" s="13" t="s">
        <v>643</v>
      </c>
      <c r="I5" s="6">
        <v>11573.64</v>
      </c>
      <c r="J5" s="16" t="s">
        <v>644</v>
      </c>
      <c r="K5" s="13" t="s">
        <v>645</v>
      </c>
      <c r="L5" s="6">
        <v>3600</v>
      </c>
      <c r="M5" s="20">
        <v>43224</v>
      </c>
      <c r="N5" s="24" t="s">
        <v>10</v>
      </c>
      <c r="O5" s="22">
        <v>2204</v>
      </c>
      <c r="P5" s="23" t="s">
        <v>195</v>
      </c>
    </row>
    <row r="6" spans="1:16" x14ac:dyDescent="0.2">
      <c r="A6" s="7">
        <v>43229</v>
      </c>
      <c r="B6" s="11" t="s">
        <v>646</v>
      </c>
      <c r="C6" s="9">
        <v>17523.349999999999</v>
      </c>
      <c r="D6" s="12">
        <v>43348</v>
      </c>
      <c r="E6" s="13" t="s">
        <v>647</v>
      </c>
      <c r="F6" s="6">
        <v>21251.41</v>
      </c>
      <c r="G6" s="16" t="s">
        <v>215</v>
      </c>
      <c r="H6" s="13" t="s">
        <v>648</v>
      </c>
      <c r="I6" s="6">
        <v>10635.89</v>
      </c>
      <c r="J6" s="16" t="s">
        <v>215</v>
      </c>
      <c r="K6" s="13" t="s">
        <v>649</v>
      </c>
      <c r="L6" s="6">
        <v>8350.14</v>
      </c>
      <c r="M6" s="20">
        <v>43255</v>
      </c>
      <c r="N6" s="24" t="s">
        <v>13</v>
      </c>
      <c r="O6" s="22">
        <v>23200</v>
      </c>
      <c r="P6" s="23" t="s">
        <v>196</v>
      </c>
    </row>
    <row r="7" spans="1:16" x14ac:dyDescent="0.2">
      <c r="A7" s="7">
        <v>43229</v>
      </c>
      <c r="B7" s="11" t="s">
        <v>650</v>
      </c>
      <c r="C7" s="9">
        <v>1382</v>
      </c>
      <c r="D7" s="12">
        <v>43347</v>
      </c>
      <c r="E7" s="13" t="s">
        <v>651</v>
      </c>
      <c r="F7" s="6">
        <v>100</v>
      </c>
      <c r="G7" s="16" t="s">
        <v>193</v>
      </c>
      <c r="H7" s="13" t="s">
        <v>652</v>
      </c>
      <c r="I7" s="6">
        <v>10578.75</v>
      </c>
      <c r="J7" s="28" t="s">
        <v>193</v>
      </c>
      <c r="K7" s="13" t="s">
        <v>653</v>
      </c>
      <c r="L7" s="6">
        <v>7885.86</v>
      </c>
      <c r="M7" s="20">
        <v>43347</v>
      </c>
      <c r="N7" s="21" t="s">
        <v>8</v>
      </c>
      <c r="O7" s="22">
        <v>4000</v>
      </c>
      <c r="P7" s="23" t="s">
        <v>197</v>
      </c>
    </row>
    <row r="8" spans="1:16" x14ac:dyDescent="0.2">
      <c r="A8" s="7">
        <v>43200</v>
      </c>
      <c r="B8" s="11" t="s">
        <v>654</v>
      </c>
      <c r="C8" s="9">
        <v>4000</v>
      </c>
      <c r="D8" s="12">
        <v>43377</v>
      </c>
      <c r="E8" s="13" t="s">
        <v>655</v>
      </c>
      <c r="F8" s="6">
        <v>9014</v>
      </c>
      <c r="G8" s="1"/>
      <c r="H8" s="14"/>
      <c r="I8" s="15"/>
      <c r="J8" s="28" t="s">
        <v>193</v>
      </c>
      <c r="K8" s="13" t="s">
        <v>656</v>
      </c>
      <c r="L8" s="6">
        <v>284</v>
      </c>
      <c r="M8" s="20">
        <v>43255</v>
      </c>
      <c r="N8" s="24" t="s">
        <v>163</v>
      </c>
      <c r="O8" s="22">
        <v>134.56</v>
      </c>
      <c r="P8" s="23" t="s">
        <v>12</v>
      </c>
    </row>
    <row r="9" spans="1:16" x14ac:dyDescent="0.2">
      <c r="A9" s="7">
        <v>43200</v>
      </c>
      <c r="B9" s="11" t="s">
        <v>657</v>
      </c>
      <c r="C9" s="9">
        <v>951</v>
      </c>
      <c r="D9" s="12" t="s">
        <v>210</v>
      </c>
      <c r="E9" s="13" t="s">
        <v>658</v>
      </c>
      <c r="F9" s="6">
        <v>20408.357</v>
      </c>
      <c r="J9" s="1"/>
      <c r="K9" s="14"/>
      <c r="L9" s="15"/>
      <c r="M9" s="20">
        <v>43255</v>
      </c>
      <c r="N9" s="24" t="s">
        <v>9</v>
      </c>
      <c r="O9" s="22">
        <v>658</v>
      </c>
      <c r="P9" s="23" t="s">
        <v>198</v>
      </c>
    </row>
    <row r="10" spans="1:16" x14ac:dyDescent="0.2">
      <c r="A10" s="7">
        <v>43202</v>
      </c>
      <c r="B10" s="8" t="s">
        <v>659</v>
      </c>
      <c r="C10" s="6">
        <v>363</v>
      </c>
      <c r="D10" s="12" t="s">
        <v>215</v>
      </c>
      <c r="E10" s="13" t="s">
        <v>660</v>
      </c>
      <c r="F10" s="6">
        <v>19587.687000000002</v>
      </c>
      <c r="M10" s="20">
        <v>43408</v>
      </c>
      <c r="N10" s="24" t="s">
        <v>7</v>
      </c>
      <c r="O10" s="22">
        <v>6163</v>
      </c>
      <c r="P10" s="23" t="s">
        <v>199</v>
      </c>
    </row>
    <row r="11" spans="1:16" x14ac:dyDescent="0.2">
      <c r="A11" s="7">
        <v>43206</v>
      </c>
      <c r="B11" s="8" t="s">
        <v>661</v>
      </c>
      <c r="C11" s="9">
        <v>950</v>
      </c>
      <c r="D11" s="7" t="s">
        <v>193</v>
      </c>
      <c r="E11" s="13" t="s">
        <v>662</v>
      </c>
      <c r="F11" s="6">
        <v>18379.816999999999</v>
      </c>
      <c r="M11" s="20">
        <v>43408</v>
      </c>
      <c r="N11" s="23" t="s">
        <v>61</v>
      </c>
      <c r="O11" s="22">
        <v>3700.4</v>
      </c>
      <c r="P11" s="23" t="s">
        <v>200</v>
      </c>
    </row>
    <row r="12" spans="1:16" x14ac:dyDescent="0.2">
      <c r="A12" s="7">
        <v>43206</v>
      </c>
      <c r="B12" s="8" t="s">
        <v>663</v>
      </c>
      <c r="C12" s="9">
        <v>16408.445</v>
      </c>
      <c r="D12" s="7" t="s">
        <v>193</v>
      </c>
      <c r="E12" s="13" t="s">
        <v>664</v>
      </c>
      <c r="F12" s="6">
        <v>800</v>
      </c>
      <c r="M12" s="20">
        <v>43408</v>
      </c>
      <c r="N12" s="21" t="s">
        <v>160</v>
      </c>
      <c r="O12" s="22">
        <v>21064</v>
      </c>
      <c r="P12" s="23" t="s">
        <v>201</v>
      </c>
    </row>
    <row r="13" spans="1:16" x14ac:dyDescent="0.2">
      <c r="A13" s="7">
        <v>43206</v>
      </c>
      <c r="B13" s="8" t="s">
        <v>665</v>
      </c>
      <c r="C13" s="9">
        <v>1382</v>
      </c>
      <c r="D13" s="7" t="s">
        <v>193</v>
      </c>
      <c r="E13" s="13" t="s">
        <v>666</v>
      </c>
      <c r="F13" s="6">
        <v>1048</v>
      </c>
      <c r="M13" s="20">
        <v>43408</v>
      </c>
      <c r="N13" s="21" t="s">
        <v>14</v>
      </c>
      <c r="O13" s="22">
        <v>52450.09</v>
      </c>
      <c r="P13" s="23" t="s">
        <v>202</v>
      </c>
    </row>
    <row r="14" spans="1:16" x14ac:dyDescent="0.2">
      <c r="A14" s="7">
        <v>43206</v>
      </c>
      <c r="B14" s="8" t="s">
        <v>667</v>
      </c>
      <c r="C14" s="9">
        <v>1000</v>
      </c>
      <c r="D14" s="1"/>
      <c r="E14" s="14"/>
      <c r="F14" s="15"/>
      <c r="M14" s="20">
        <v>43408</v>
      </c>
      <c r="N14" s="23" t="s">
        <v>17</v>
      </c>
      <c r="O14" s="22">
        <v>9708.66</v>
      </c>
      <c r="P14" s="23" t="s">
        <v>203</v>
      </c>
    </row>
    <row r="15" spans="1:16" x14ac:dyDescent="0.2">
      <c r="A15" s="7">
        <v>43213</v>
      </c>
      <c r="B15" s="8" t="s">
        <v>668</v>
      </c>
      <c r="C15" s="9">
        <v>18032.215</v>
      </c>
      <c r="M15" s="20">
        <v>43408</v>
      </c>
      <c r="N15" s="23" t="s">
        <v>98</v>
      </c>
      <c r="O15" s="22">
        <v>930</v>
      </c>
      <c r="P15" s="23" t="s">
        <v>204</v>
      </c>
    </row>
    <row r="16" spans="1:16" x14ac:dyDescent="0.2">
      <c r="A16" s="7">
        <v>43213</v>
      </c>
      <c r="B16" s="8" t="s">
        <v>669</v>
      </c>
      <c r="C16" s="9">
        <v>1382</v>
      </c>
      <c r="M16" s="20">
        <v>43408</v>
      </c>
      <c r="N16" s="23" t="s">
        <v>153</v>
      </c>
      <c r="O16" s="22">
        <v>896</v>
      </c>
      <c r="P16" s="23" t="s">
        <v>205</v>
      </c>
    </row>
    <row r="17" spans="1:16" x14ac:dyDescent="0.2">
      <c r="A17" s="7">
        <v>43213</v>
      </c>
      <c r="B17" s="8" t="s">
        <v>670</v>
      </c>
      <c r="C17" s="9">
        <v>1000</v>
      </c>
      <c r="M17" s="20">
        <v>43438</v>
      </c>
      <c r="N17" s="23" t="s">
        <v>7</v>
      </c>
      <c r="O17" s="22">
        <v>5563</v>
      </c>
      <c r="P17" s="23" t="s">
        <v>206</v>
      </c>
    </row>
    <row r="18" spans="1:16" x14ac:dyDescent="0.2">
      <c r="A18" s="7">
        <v>43217</v>
      </c>
      <c r="B18" s="8" t="s">
        <v>671</v>
      </c>
      <c r="C18" s="9">
        <v>1775</v>
      </c>
      <c r="M18" s="20">
        <v>43438</v>
      </c>
      <c r="N18" s="23" t="s">
        <v>7</v>
      </c>
      <c r="O18" s="22">
        <v>114</v>
      </c>
      <c r="P18" s="23" t="s">
        <v>207</v>
      </c>
    </row>
    <row r="19" spans="1:16" x14ac:dyDescent="0.2">
      <c r="A19" s="7">
        <v>43217</v>
      </c>
      <c r="B19" s="8" t="s">
        <v>672</v>
      </c>
      <c r="C19" s="9">
        <v>10000</v>
      </c>
      <c r="M19" s="20">
        <v>43408</v>
      </c>
      <c r="N19" s="23" t="s">
        <v>9</v>
      </c>
      <c r="O19" s="22">
        <v>2224</v>
      </c>
      <c r="P19" s="23" t="s">
        <v>208</v>
      </c>
    </row>
    <row r="20" spans="1:16" x14ac:dyDescent="0.2">
      <c r="A20" s="7">
        <v>43217</v>
      </c>
      <c r="B20" s="8" t="s">
        <v>673</v>
      </c>
      <c r="C20" s="9">
        <v>200</v>
      </c>
      <c r="M20" s="20" t="s">
        <v>209</v>
      </c>
      <c r="N20" s="23" t="s">
        <v>61</v>
      </c>
      <c r="O20" s="22">
        <v>3700.4</v>
      </c>
      <c r="P20" s="23" t="s">
        <v>211</v>
      </c>
    </row>
    <row r="21" spans="1:16" x14ac:dyDescent="0.2">
      <c r="A21" s="7">
        <v>43220</v>
      </c>
      <c r="B21" s="8" t="s">
        <v>674</v>
      </c>
      <c r="C21" s="9">
        <v>17480.025000000001</v>
      </c>
      <c r="M21" s="20" t="s">
        <v>210</v>
      </c>
      <c r="N21" s="23" t="s">
        <v>8</v>
      </c>
      <c r="O21" s="22">
        <v>3000</v>
      </c>
      <c r="P21" s="23" t="s">
        <v>212</v>
      </c>
    </row>
    <row r="22" spans="1:16" x14ac:dyDescent="0.2">
      <c r="A22" s="7">
        <v>43220</v>
      </c>
      <c r="B22" s="8" t="s">
        <v>675</v>
      </c>
      <c r="C22" s="9">
        <v>1382</v>
      </c>
      <c r="D22" s="36"/>
      <c r="M22" s="20" t="s">
        <v>209</v>
      </c>
      <c r="N22" s="23" t="s">
        <v>18</v>
      </c>
      <c r="O22" s="22">
        <v>21103</v>
      </c>
      <c r="P22" s="23" t="s">
        <v>213</v>
      </c>
    </row>
    <row r="23" spans="1:16" x14ac:dyDescent="0.2">
      <c r="A23" s="7">
        <v>43220</v>
      </c>
      <c r="B23" s="11" t="s">
        <v>676</v>
      </c>
      <c r="C23" s="6">
        <v>1000</v>
      </c>
      <c r="M23" s="20" t="s">
        <v>209</v>
      </c>
      <c r="N23" s="23" t="s">
        <v>181</v>
      </c>
      <c r="O23" s="22">
        <v>2988.83</v>
      </c>
      <c r="P23" s="23" t="s">
        <v>214</v>
      </c>
    </row>
    <row r="24" spans="1:16" x14ac:dyDescent="0.2">
      <c r="A24" s="1"/>
      <c r="B24" s="14"/>
      <c r="C24" s="15"/>
      <c r="M24" s="20" t="s">
        <v>215</v>
      </c>
      <c r="N24" s="23" t="s">
        <v>13</v>
      </c>
      <c r="O24" s="22">
        <v>19140</v>
      </c>
      <c r="P24" s="23" t="s">
        <v>216</v>
      </c>
    </row>
    <row r="25" spans="1:16" x14ac:dyDescent="0.2">
      <c r="A25" s="1"/>
      <c r="B25" s="1"/>
      <c r="C25" s="1"/>
      <c r="M25" s="20" t="s">
        <v>215</v>
      </c>
      <c r="N25" s="23" t="s">
        <v>8</v>
      </c>
      <c r="O25" s="22">
        <v>3000</v>
      </c>
      <c r="P25" s="23" t="s">
        <v>72</v>
      </c>
    </row>
    <row r="26" spans="1:16" x14ac:dyDescent="0.2">
      <c r="M26" s="20" t="s">
        <v>217</v>
      </c>
      <c r="N26" s="23" t="s">
        <v>19</v>
      </c>
      <c r="O26" s="22">
        <v>2842</v>
      </c>
      <c r="P26" s="23" t="s">
        <v>221</v>
      </c>
    </row>
    <row r="27" spans="1:16" x14ac:dyDescent="0.2">
      <c r="M27" s="20" t="s">
        <v>218</v>
      </c>
      <c r="N27" s="23" t="s">
        <v>7</v>
      </c>
      <c r="O27" s="22">
        <v>15108</v>
      </c>
      <c r="P27" s="23" t="s">
        <v>222</v>
      </c>
    </row>
    <row r="28" spans="1:16" x14ac:dyDescent="0.2">
      <c r="M28" s="20" t="s">
        <v>217</v>
      </c>
      <c r="N28" s="23" t="s">
        <v>61</v>
      </c>
      <c r="O28" s="22">
        <v>3700.4</v>
      </c>
      <c r="P28" s="23" t="s">
        <v>223</v>
      </c>
    </row>
    <row r="29" spans="1:16" x14ac:dyDescent="0.2">
      <c r="M29" s="20" t="s">
        <v>217</v>
      </c>
      <c r="N29" s="23" t="s">
        <v>219</v>
      </c>
      <c r="O29" s="22">
        <v>4869.83</v>
      </c>
      <c r="P29" s="23" t="s">
        <v>224</v>
      </c>
    </row>
    <row r="30" spans="1:16" x14ac:dyDescent="0.2">
      <c r="M30" s="20" t="s">
        <v>217</v>
      </c>
      <c r="N30" s="23" t="s">
        <v>20</v>
      </c>
      <c r="O30" s="22">
        <v>510</v>
      </c>
      <c r="P30" s="23" t="s">
        <v>225</v>
      </c>
    </row>
    <row r="31" spans="1:16" x14ac:dyDescent="0.2">
      <c r="M31" s="20" t="s">
        <v>217</v>
      </c>
      <c r="N31" s="23" t="s">
        <v>23</v>
      </c>
      <c r="O31" s="22">
        <v>2320</v>
      </c>
      <c r="P31" s="23" t="s">
        <v>226</v>
      </c>
    </row>
    <row r="32" spans="1:16" x14ac:dyDescent="0.2">
      <c r="M32" s="20" t="s">
        <v>193</v>
      </c>
      <c r="N32" s="23" t="s">
        <v>8</v>
      </c>
      <c r="O32" s="22">
        <v>3000</v>
      </c>
      <c r="P32" s="23" t="s">
        <v>72</v>
      </c>
    </row>
    <row r="33" spans="1:16" x14ac:dyDescent="0.2">
      <c r="M33" s="20" t="s">
        <v>218</v>
      </c>
      <c r="N33" s="23" t="s">
        <v>677</v>
      </c>
      <c r="O33" s="22">
        <v>3570</v>
      </c>
      <c r="P33" s="23" t="s">
        <v>227</v>
      </c>
    </row>
    <row r="34" spans="1:16" x14ac:dyDescent="0.2">
      <c r="M34" s="20" t="s">
        <v>218</v>
      </c>
      <c r="N34" s="23" t="s">
        <v>677</v>
      </c>
      <c r="O34" s="22">
        <v>6271</v>
      </c>
      <c r="P34" s="23" t="s">
        <v>227</v>
      </c>
    </row>
    <row r="35" spans="1:16" x14ac:dyDescent="0.2">
      <c r="M35" s="20" t="s">
        <v>220</v>
      </c>
      <c r="N35" s="23" t="s">
        <v>9</v>
      </c>
      <c r="O35" s="22">
        <v>590</v>
      </c>
      <c r="P35" s="23" t="s">
        <v>228</v>
      </c>
    </row>
    <row r="36" spans="1:16" x14ac:dyDescent="0.2">
      <c r="M36" s="1"/>
      <c r="N36" s="25"/>
      <c r="O36" s="26"/>
    </row>
    <row r="40" spans="1:16" x14ac:dyDescent="0.2">
      <c r="A40" s="1"/>
      <c r="B40" s="1"/>
      <c r="C40" s="1"/>
    </row>
    <row r="48" spans="1:16" x14ac:dyDescent="0.2">
      <c r="D48" s="17"/>
      <c r="E48" s="1"/>
    </row>
    <row r="49" spans="1:5" x14ac:dyDescent="0.2">
      <c r="A49" s="1"/>
      <c r="B49" s="1"/>
      <c r="C49" s="1"/>
      <c r="D49" s="17"/>
      <c r="E49" s="1"/>
    </row>
    <row r="50" spans="1:5" x14ac:dyDescent="0.2">
      <c r="D50" s="17"/>
      <c r="E50" s="1"/>
    </row>
    <row r="51" spans="1:5" x14ac:dyDescent="0.2">
      <c r="D51" s="17"/>
      <c r="E51" s="1"/>
    </row>
    <row r="52" spans="1:5" x14ac:dyDescent="0.2">
      <c r="D52" s="17"/>
      <c r="E52" s="1"/>
    </row>
    <row r="53" spans="1:5" x14ac:dyDescent="0.2">
      <c r="D53" s="17"/>
      <c r="E53" s="1"/>
    </row>
    <row r="54" spans="1:5" x14ac:dyDescent="0.2">
      <c r="D54" s="17"/>
      <c r="E54" s="1"/>
    </row>
    <row r="55" spans="1:5" x14ac:dyDescent="0.2">
      <c r="D55" s="17"/>
      <c r="E55" s="1"/>
    </row>
    <row r="56" spans="1:5" x14ac:dyDescent="0.2">
      <c r="D56" s="18"/>
      <c r="E56" s="1"/>
    </row>
    <row r="57" spans="1:5" x14ac:dyDescent="0.2">
      <c r="D57" s="18"/>
      <c r="E57" s="1"/>
    </row>
    <row r="58" spans="1:5" s="34" customFormat="1" x14ac:dyDescent="0.2">
      <c r="D58" s="17"/>
      <c r="E58" s="33"/>
    </row>
    <row r="59" spans="1:5" x14ac:dyDescent="0.2">
      <c r="A59" s="33"/>
      <c r="B59" s="33"/>
      <c r="C59" s="33"/>
      <c r="D59" s="17"/>
      <c r="E59" s="1"/>
    </row>
    <row r="60" spans="1:5" x14ac:dyDescent="0.2">
      <c r="A60" s="33"/>
      <c r="B60" s="33"/>
      <c r="C60" s="33"/>
      <c r="D60" s="17"/>
      <c r="E60" s="1"/>
    </row>
    <row r="61" spans="1:5" x14ac:dyDescent="0.2">
      <c r="A61" s="1"/>
      <c r="B61" s="1"/>
      <c r="C61" s="1"/>
      <c r="D61" s="17"/>
      <c r="E61" s="1"/>
    </row>
    <row r="62" spans="1:5" x14ac:dyDescent="0.2">
      <c r="E62" s="1"/>
    </row>
    <row r="63" spans="1:5" x14ac:dyDescent="0.2">
      <c r="E63" s="1"/>
    </row>
    <row r="64" spans="1:5" x14ac:dyDescent="0.2">
      <c r="E64" s="1"/>
    </row>
    <row r="65" spans="5:5" x14ac:dyDescent="0.2">
      <c r="E65" s="1"/>
    </row>
    <row r="66" spans="5:5" x14ac:dyDescent="0.2">
      <c r="E66" s="1"/>
    </row>
    <row r="67" spans="5:5" x14ac:dyDescent="0.2">
      <c r="E67" s="1"/>
    </row>
    <row r="68" spans="5:5" x14ac:dyDescent="0.2">
      <c r="E68" s="1"/>
    </row>
    <row r="69" spans="5:5" ht="17.25" customHeight="1" x14ac:dyDescent="0.2">
      <c r="E69" s="1"/>
    </row>
    <row r="70" spans="5:5" ht="17.25" customHeight="1" x14ac:dyDescent="0.2">
      <c r="E70" s="1"/>
    </row>
    <row r="71" spans="5:5" x14ac:dyDescent="0.2">
      <c r="E71" s="1"/>
    </row>
    <row r="72" spans="5:5" x14ac:dyDescent="0.2">
      <c r="E72" s="1"/>
    </row>
    <row r="73" spans="5:5" x14ac:dyDescent="0.2">
      <c r="E73" s="1"/>
    </row>
    <row r="74" spans="5:5" x14ac:dyDescent="0.2">
      <c r="E74" s="1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99"/>
  <sheetViews>
    <sheetView topLeftCell="G1" zoomScaleNormal="100" workbookViewId="0">
      <selection activeCell="M1" sqref="M1:P1"/>
    </sheetView>
  </sheetViews>
  <sheetFormatPr baseColWidth="10" defaultRowHeight="12" x14ac:dyDescent="0.2"/>
  <cols>
    <col min="1" max="1" width="10.7109375" style="2" customWidth="1"/>
    <col min="2" max="2" width="20.5703125" style="2" customWidth="1"/>
    <col min="3" max="3" width="12.28515625" style="2" bestFit="1" customWidth="1"/>
    <col min="4" max="4" width="10.140625" style="2" bestFit="1" customWidth="1"/>
    <col min="5" max="16384" width="11.42578125" style="2"/>
  </cols>
  <sheetData>
    <row r="1" spans="1:16" x14ac:dyDescent="0.2">
      <c r="A1" s="1"/>
      <c r="B1" s="3" t="s">
        <v>0</v>
      </c>
      <c r="C1" s="3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35" t="s">
        <v>494</v>
      </c>
    </row>
    <row r="2" spans="1:16" ht="36" x14ac:dyDescent="0.2">
      <c r="A2" s="4">
        <v>43224</v>
      </c>
      <c r="B2" s="5" t="s">
        <v>678</v>
      </c>
      <c r="C2" s="6">
        <v>4000</v>
      </c>
      <c r="D2" s="12">
        <v>43195</v>
      </c>
      <c r="E2" s="27" t="s">
        <v>679</v>
      </c>
      <c r="F2" s="6">
        <v>2676</v>
      </c>
      <c r="G2" s="16">
        <v>43195</v>
      </c>
      <c r="H2" s="13" t="s">
        <v>560</v>
      </c>
      <c r="I2" s="6">
        <v>591</v>
      </c>
      <c r="J2" s="16">
        <v>43195</v>
      </c>
      <c r="K2" s="13" t="s">
        <v>561</v>
      </c>
      <c r="L2" s="6">
        <v>573</v>
      </c>
      <c r="M2" s="20">
        <v>43251</v>
      </c>
      <c r="N2" s="21" t="s">
        <v>4</v>
      </c>
      <c r="O2" s="22">
        <v>9983.5600000000013</v>
      </c>
      <c r="P2" s="23" t="s">
        <v>5</v>
      </c>
    </row>
    <row r="3" spans="1:16" x14ac:dyDescent="0.2">
      <c r="A3" s="7">
        <v>43224</v>
      </c>
      <c r="B3" s="8" t="s">
        <v>680</v>
      </c>
      <c r="C3" s="9">
        <v>1000</v>
      </c>
      <c r="D3" s="12">
        <v>43195</v>
      </c>
      <c r="E3" s="13" t="s">
        <v>559</v>
      </c>
      <c r="F3" s="6">
        <v>591</v>
      </c>
      <c r="G3" s="16">
        <v>43286</v>
      </c>
      <c r="H3" s="13" t="s">
        <v>681</v>
      </c>
      <c r="I3" s="6">
        <v>11100.19</v>
      </c>
      <c r="J3" s="16">
        <v>43286</v>
      </c>
      <c r="K3" s="13" t="s">
        <v>682</v>
      </c>
      <c r="L3" s="6">
        <v>10718.47</v>
      </c>
      <c r="M3" s="20" t="s">
        <v>229</v>
      </c>
      <c r="N3" s="21" t="s">
        <v>61</v>
      </c>
      <c r="O3" s="22">
        <v>3700.4</v>
      </c>
      <c r="P3" s="23" t="s">
        <v>230</v>
      </c>
    </row>
    <row r="4" spans="1:16" x14ac:dyDescent="0.2">
      <c r="A4" s="7">
        <v>43227</v>
      </c>
      <c r="B4" s="10" t="s">
        <v>683</v>
      </c>
      <c r="C4" s="6">
        <v>19110.93</v>
      </c>
      <c r="D4" s="7">
        <v>43195</v>
      </c>
      <c r="E4" s="10" t="s">
        <v>684</v>
      </c>
      <c r="F4" s="6">
        <v>3088</v>
      </c>
      <c r="G4" s="16" t="s">
        <v>685</v>
      </c>
      <c r="H4" s="13" t="s">
        <v>686</v>
      </c>
      <c r="I4" s="6">
        <v>11007.33</v>
      </c>
      <c r="J4" s="16" t="s">
        <v>685</v>
      </c>
      <c r="K4" s="13" t="s">
        <v>687</v>
      </c>
      <c r="L4" s="6">
        <v>8493</v>
      </c>
      <c r="M4" s="20" t="s">
        <v>229</v>
      </c>
      <c r="N4" s="24" t="s">
        <v>84</v>
      </c>
      <c r="O4" s="22">
        <v>978.46</v>
      </c>
      <c r="P4" s="23" t="s">
        <v>231</v>
      </c>
    </row>
    <row r="5" spans="1:16" x14ac:dyDescent="0.2">
      <c r="A5" s="7">
        <v>43227</v>
      </c>
      <c r="B5" s="11" t="s">
        <v>688</v>
      </c>
      <c r="C5" s="9">
        <v>1382</v>
      </c>
      <c r="D5" s="12">
        <v>43286</v>
      </c>
      <c r="E5" s="13" t="s">
        <v>689</v>
      </c>
      <c r="F5" s="6">
        <v>23344.02</v>
      </c>
      <c r="G5" s="16" t="s">
        <v>690</v>
      </c>
      <c r="H5" s="13" t="s">
        <v>691</v>
      </c>
      <c r="I5" s="6">
        <v>11185.19</v>
      </c>
      <c r="J5" s="16" t="s">
        <v>690</v>
      </c>
      <c r="K5" s="13" t="s">
        <v>692</v>
      </c>
      <c r="L5" s="6">
        <v>9121.57</v>
      </c>
      <c r="M5" s="20" t="s">
        <v>229</v>
      </c>
      <c r="N5" s="24" t="s">
        <v>15</v>
      </c>
      <c r="O5" s="22">
        <v>41</v>
      </c>
      <c r="P5" s="23" t="s">
        <v>232</v>
      </c>
    </row>
    <row r="6" spans="1:16" x14ac:dyDescent="0.2">
      <c r="A6" s="7">
        <v>43227</v>
      </c>
      <c r="B6" s="11" t="s">
        <v>693</v>
      </c>
      <c r="C6" s="9">
        <v>1100</v>
      </c>
      <c r="D6" s="12">
        <v>43348</v>
      </c>
      <c r="E6" s="13" t="s">
        <v>694</v>
      </c>
      <c r="F6" s="6">
        <v>4143</v>
      </c>
      <c r="G6" s="16">
        <v>43409</v>
      </c>
      <c r="H6" s="13" t="s">
        <v>695</v>
      </c>
      <c r="I6" s="6">
        <v>492</v>
      </c>
      <c r="J6" s="16" t="s">
        <v>284</v>
      </c>
      <c r="K6" s="13" t="s">
        <v>696</v>
      </c>
      <c r="L6" s="6">
        <v>400</v>
      </c>
      <c r="M6" s="20" t="s">
        <v>229</v>
      </c>
      <c r="N6" s="24" t="s">
        <v>99</v>
      </c>
      <c r="O6" s="22">
        <v>835.2</v>
      </c>
      <c r="P6" s="23" t="s">
        <v>233</v>
      </c>
    </row>
    <row r="7" spans="1:16" x14ac:dyDescent="0.2">
      <c r="A7" s="7">
        <v>43227</v>
      </c>
      <c r="B7" s="11" t="s">
        <v>697</v>
      </c>
      <c r="C7" s="9">
        <v>200</v>
      </c>
      <c r="D7" s="12">
        <v>43409</v>
      </c>
      <c r="E7" s="13" t="s">
        <v>698</v>
      </c>
      <c r="F7" s="6">
        <v>214</v>
      </c>
      <c r="G7" s="16" t="s">
        <v>284</v>
      </c>
      <c r="H7" s="13" t="s">
        <v>699</v>
      </c>
      <c r="I7" s="6">
        <v>1098</v>
      </c>
      <c r="J7" s="28" t="s">
        <v>700</v>
      </c>
      <c r="K7" s="13" t="s">
        <v>701</v>
      </c>
      <c r="L7" s="6">
        <v>10750.9</v>
      </c>
      <c r="M7" s="20" t="s">
        <v>229</v>
      </c>
      <c r="N7" s="21" t="s">
        <v>9</v>
      </c>
      <c r="O7" s="22">
        <v>658</v>
      </c>
      <c r="P7" s="23" t="s">
        <v>234</v>
      </c>
    </row>
    <row r="8" spans="1:16" x14ac:dyDescent="0.2">
      <c r="A8" s="7">
        <v>43227</v>
      </c>
      <c r="B8" s="11" t="s">
        <v>702</v>
      </c>
      <c r="C8" s="9">
        <v>200</v>
      </c>
      <c r="D8" s="12" t="s">
        <v>685</v>
      </c>
      <c r="E8" s="13" t="s">
        <v>703</v>
      </c>
      <c r="F8" s="6">
        <v>19057.34</v>
      </c>
      <c r="G8" s="16" t="s">
        <v>700</v>
      </c>
      <c r="H8" s="13" t="s">
        <v>704</v>
      </c>
      <c r="I8" s="6">
        <v>10376.61</v>
      </c>
      <c r="J8" s="28" t="s">
        <v>282</v>
      </c>
      <c r="K8" s="13" t="s">
        <v>561</v>
      </c>
      <c r="L8" s="6">
        <v>573</v>
      </c>
      <c r="M8" s="20" t="s">
        <v>235</v>
      </c>
      <c r="N8" s="24" t="s">
        <v>13</v>
      </c>
      <c r="O8" s="22">
        <v>11484</v>
      </c>
      <c r="P8" s="23" t="s">
        <v>238</v>
      </c>
    </row>
    <row r="9" spans="1:16" x14ac:dyDescent="0.2">
      <c r="A9" s="7">
        <v>43227</v>
      </c>
      <c r="B9" s="11" t="s">
        <v>705</v>
      </c>
      <c r="C9" s="9">
        <v>200</v>
      </c>
      <c r="D9" s="12" t="s">
        <v>706</v>
      </c>
      <c r="E9" s="13" t="s">
        <v>707</v>
      </c>
      <c r="F9" s="6">
        <v>450</v>
      </c>
      <c r="G9" s="7" t="s">
        <v>282</v>
      </c>
      <c r="H9" s="11" t="s">
        <v>708</v>
      </c>
      <c r="I9" s="6">
        <v>430</v>
      </c>
      <c r="J9" s="28">
        <v>43439</v>
      </c>
      <c r="K9" s="13" t="s">
        <v>709</v>
      </c>
      <c r="L9" s="6">
        <v>300</v>
      </c>
      <c r="M9" s="20" t="s">
        <v>236</v>
      </c>
      <c r="N9" s="24" t="s">
        <v>13</v>
      </c>
      <c r="O9" s="22">
        <v>23200</v>
      </c>
      <c r="P9" s="23" t="s">
        <v>239</v>
      </c>
    </row>
    <row r="10" spans="1:16" x14ac:dyDescent="0.2">
      <c r="A10" s="7">
        <v>43229</v>
      </c>
      <c r="B10" s="8" t="s">
        <v>680</v>
      </c>
      <c r="C10" s="6">
        <v>2000</v>
      </c>
      <c r="D10" s="12" t="s">
        <v>690</v>
      </c>
      <c r="E10" s="13" t="s">
        <v>710</v>
      </c>
      <c r="F10" s="6">
        <v>19651.467000000001</v>
      </c>
      <c r="G10" s="7" t="s">
        <v>282</v>
      </c>
      <c r="H10" s="13" t="s">
        <v>560</v>
      </c>
      <c r="I10" s="6">
        <v>591</v>
      </c>
      <c r="J10" s="28" t="s">
        <v>685</v>
      </c>
      <c r="K10" s="13" t="s">
        <v>711</v>
      </c>
      <c r="L10" s="6">
        <v>426</v>
      </c>
      <c r="M10" s="20" t="s">
        <v>236</v>
      </c>
      <c r="N10" s="24" t="s">
        <v>237</v>
      </c>
      <c r="O10" s="22">
        <v>4176</v>
      </c>
      <c r="P10" s="23" t="s">
        <v>240</v>
      </c>
    </row>
    <row r="11" spans="1:16" x14ac:dyDescent="0.2">
      <c r="A11" s="7">
        <v>43230</v>
      </c>
      <c r="B11" s="8" t="s">
        <v>712</v>
      </c>
      <c r="C11" s="9">
        <v>50</v>
      </c>
      <c r="D11" s="7" t="s">
        <v>700</v>
      </c>
      <c r="E11" s="13" t="s">
        <v>713</v>
      </c>
      <c r="F11" s="6">
        <v>21108.347000000002</v>
      </c>
      <c r="G11" s="37">
        <v>43286</v>
      </c>
      <c r="H11" s="13" t="s">
        <v>714</v>
      </c>
      <c r="I11" s="6">
        <v>500</v>
      </c>
      <c r="J11" s="28" t="s">
        <v>258</v>
      </c>
      <c r="K11" s="13" t="s">
        <v>715</v>
      </c>
      <c r="L11" s="6">
        <v>127</v>
      </c>
      <c r="M11" s="20" t="s">
        <v>236</v>
      </c>
      <c r="N11" s="23" t="s">
        <v>8</v>
      </c>
      <c r="O11" s="22">
        <v>3000</v>
      </c>
      <c r="P11" s="23" t="s">
        <v>241</v>
      </c>
    </row>
    <row r="12" spans="1:16" x14ac:dyDescent="0.2">
      <c r="A12" s="7">
        <v>43231</v>
      </c>
      <c r="B12" s="8" t="s">
        <v>716</v>
      </c>
      <c r="C12" s="9">
        <v>600</v>
      </c>
      <c r="D12" s="7" t="s">
        <v>282</v>
      </c>
      <c r="E12" s="13" t="s">
        <v>559</v>
      </c>
      <c r="F12" s="6">
        <v>591</v>
      </c>
      <c r="G12" s="37" t="s">
        <v>700</v>
      </c>
      <c r="H12" s="13" t="s">
        <v>717</v>
      </c>
      <c r="I12" s="6">
        <v>39</v>
      </c>
      <c r="J12" s="28" t="s">
        <v>690</v>
      </c>
      <c r="K12" s="13" t="s">
        <v>718</v>
      </c>
      <c r="L12" s="6">
        <v>70</v>
      </c>
      <c r="M12" s="20" t="s">
        <v>242</v>
      </c>
      <c r="N12" s="21" t="s">
        <v>7</v>
      </c>
      <c r="O12" s="22">
        <v>7529</v>
      </c>
      <c r="P12" s="23" t="s">
        <v>247</v>
      </c>
    </row>
    <row r="13" spans="1:16" x14ac:dyDescent="0.2">
      <c r="A13" s="7">
        <v>43231</v>
      </c>
      <c r="B13" s="8" t="s">
        <v>719</v>
      </c>
      <c r="C13" s="9">
        <v>120</v>
      </c>
      <c r="D13" s="7">
        <v>43317</v>
      </c>
      <c r="E13" s="13" t="s">
        <v>720</v>
      </c>
      <c r="F13" s="6">
        <v>100</v>
      </c>
      <c r="G13" s="1"/>
      <c r="H13" s="14"/>
      <c r="I13" s="15"/>
      <c r="J13" s="1"/>
      <c r="K13" s="14"/>
      <c r="L13" s="15"/>
      <c r="M13" s="20" t="s">
        <v>243</v>
      </c>
      <c r="N13" s="21" t="s">
        <v>10</v>
      </c>
      <c r="O13" s="22">
        <v>2204</v>
      </c>
      <c r="P13" s="23" t="s">
        <v>248</v>
      </c>
    </row>
    <row r="14" spans="1:16" x14ac:dyDescent="0.2">
      <c r="A14" s="7">
        <v>43231</v>
      </c>
      <c r="B14" s="8" t="s">
        <v>721</v>
      </c>
      <c r="C14" s="9">
        <v>466.59</v>
      </c>
      <c r="D14" s="7" t="s">
        <v>690</v>
      </c>
      <c r="E14" s="13" t="s">
        <v>722</v>
      </c>
      <c r="F14" s="6">
        <v>100</v>
      </c>
      <c r="M14" s="20" t="s">
        <v>243</v>
      </c>
      <c r="N14" s="23" t="s">
        <v>245</v>
      </c>
      <c r="O14" s="22">
        <v>1624</v>
      </c>
      <c r="P14" s="23" t="s">
        <v>249</v>
      </c>
    </row>
    <row r="15" spans="1:16" x14ac:dyDescent="0.2">
      <c r="A15" s="7">
        <v>43231</v>
      </c>
      <c r="B15" s="8" t="s">
        <v>723</v>
      </c>
      <c r="C15" s="9">
        <v>97.36</v>
      </c>
      <c r="D15" s="7" t="s">
        <v>690</v>
      </c>
      <c r="E15" s="13" t="s">
        <v>724</v>
      </c>
      <c r="F15" s="6">
        <v>214</v>
      </c>
      <c r="M15" s="20" t="s">
        <v>244</v>
      </c>
      <c r="N15" s="23" t="s">
        <v>98</v>
      </c>
      <c r="O15" s="22">
        <v>930</v>
      </c>
      <c r="P15" s="23" t="s">
        <v>250</v>
      </c>
    </row>
    <row r="16" spans="1:16" x14ac:dyDescent="0.2">
      <c r="A16" s="7">
        <v>43231</v>
      </c>
      <c r="B16" s="8" t="s">
        <v>725</v>
      </c>
      <c r="C16" s="9">
        <v>130</v>
      </c>
      <c r="D16" s="1"/>
      <c r="E16" s="14"/>
      <c r="F16" s="15"/>
      <c r="M16" s="20" t="s">
        <v>243</v>
      </c>
      <c r="N16" s="23" t="s">
        <v>145</v>
      </c>
      <c r="O16" s="22">
        <v>580</v>
      </c>
      <c r="P16" s="23" t="s">
        <v>251</v>
      </c>
    </row>
    <row r="17" spans="1:16" x14ac:dyDescent="0.2">
      <c r="A17" s="7">
        <v>43231</v>
      </c>
      <c r="B17" s="8" t="s">
        <v>726</v>
      </c>
      <c r="C17" s="9">
        <v>200</v>
      </c>
      <c r="M17" s="20" t="s">
        <v>243</v>
      </c>
      <c r="N17" s="23" t="s">
        <v>15</v>
      </c>
      <c r="O17" s="22">
        <v>1142</v>
      </c>
      <c r="P17" s="23" t="s">
        <v>252</v>
      </c>
    </row>
    <row r="18" spans="1:16" x14ac:dyDescent="0.2">
      <c r="A18" s="7">
        <v>43231</v>
      </c>
      <c r="B18" s="8" t="s">
        <v>727</v>
      </c>
      <c r="C18" s="9">
        <v>51</v>
      </c>
      <c r="M18" s="20" t="s">
        <v>243</v>
      </c>
      <c r="N18" s="23" t="s">
        <v>79</v>
      </c>
      <c r="O18" s="22">
        <v>4585.4399999999996</v>
      </c>
      <c r="P18" s="23" t="s">
        <v>253</v>
      </c>
    </row>
    <row r="19" spans="1:16" x14ac:dyDescent="0.2">
      <c r="A19" s="7">
        <v>43234</v>
      </c>
      <c r="B19" s="8" t="s">
        <v>728</v>
      </c>
      <c r="C19" s="9">
        <v>16825.169999999998</v>
      </c>
      <c r="M19" s="20" t="s">
        <v>243</v>
      </c>
      <c r="N19" s="23" t="s">
        <v>11</v>
      </c>
      <c r="O19" s="22">
        <v>78.88</v>
      </c>
      <c r="P19" s="23" t="s">
        <v>12</v>
      </c>
    </row>
    <row r="20" spans="1:16" x14ac:dyDescent="0.2">
      <c r="A20" s="7">
        <v>43234</v>
      </c>
      <c r="B20" s="8" t="s">
        <v>729</v>
      </c>
      <c r="C20" s="9">
        <v>1382</v>
      </c>
      <c r="M20" s="20" t="s">
        <v>242</v>
      </c>
      <c r="N20" s="23" t="s">
        <v>9</v>
      </c>
      <c r="O20" s="22">
        <v>2212</v>
      </c>
      <c r="P20" s="23" t="s">
        <v>254</v>
      </c>
    </row>
    <row r="21" spans="1:16" x14ac:dyDescent="0.2">
      <c r="A21" s="7">
        <v>43234</v>
      </c>
      <c r="B21" s="8" t="s">
        <v>730</v>
      </c>
      <c r="C21" s="9">
        <v>1100</v>
      </c>
      <c r="M21" s="20" t="s">
        <v>243</v>
      </c>
      <c r="N21" s="23" t="s">
        <v>246</v>
      </c>
      <c r="O21" s="22">
        <v>1734.2</v>
      </c>
      <c r="P21" s="23" t="s">
        <v>255</v>
      </c>
    </row>
    <row r="22" spans="1:16" x14ac:dyDescent="0.2">
      <c r="A22" s="7">
        <v>43236</v>
      </c>
      <c r="B22" s="8" t="s">
        <v>731</v>
      </c>
      <c r="C22" s="9">
        <v>25000</v>
      </c>
      <c r="M22" s="20" t="s">
        <v>256</v>
      </c>
      <c r="N22" s="23" t="s">
        <v>13</v>
      </c>
      <c r="O22" s="22">
        <v>7656</v>
      </c>
      <c r="P22" s="23" t="s">
        <v>259</v>
      </c>
    </row>
    <row r="23" spans="1:16" x14ac:dyDescent="0.2">
      <c r="A23" s="7">
        <v>43238</v>
      </c>
      <c r="B23" s="8" t="s">
        <v>732</v>
      </c>
      <c r="C23" s="9">
        <v>285</v>
      </c>
      <c r="M23" s="20" t="s">
        <v>257</v>
      </c>
      <c r="N23" s="23" t="s">
        <v>61</v>
      </c>
      <c r="O23" s="22">
        <v>7400.8</v>
      </c>
      <c r="P23" s="23" t="s">
        <v>260</v>
      </c>
    </row>
    <row r="24" spans="1:16" x14ac:dyDescent="0.2">
      <c r="A24" s="7">
        <v>43238</v>
      </c>
      <c r="B24" s="8" t="s">
        <v>733</v>
      </c>
      <c r="C24" s="9">
        <v>150</v>
      </c>
      <c r="M24" s="20" t="s">
        <v>256</v>
      </c>
      <c r="N24" s="23" t="s">
        <v>219</v>
      </c>
      <c r="O24" s="22">
        <v>4965.7700000000004</v>
      </c>
      <c r="P24" s="23" t="s">
        <v>261</v>
      </c>
    </row>
    <row r="25" spans="1:16" x14ac:dyDescent="0.2">
      <c r="A25" s="7">
        <v>43238</v>
      </c>
      <c r="B25" s="8" t="s">
        <v>734</v>
      </c>
      <c r="C25" s="9">
        <v>386</v>
      </c>
      <c r="M25" s="20" t="s">
        <v>258</v>
      </c>
      <c r="N25" s="23" t="s">
        <v>14</v>
      </c>
      <c r="O25" s="22">
        <v>52450.09</v>
      </c>
      <c r="P25" s="23" t="s">
        <v>262</v>
      </c>
    </row>
    <row r="26" spans="1:16" x14ac:dyDescent="0.2">
      <c r="A26" s="7">
        <v>43238</v>
      </c>
      <c r="B26" s="8" t="s">
        <v>735</v>
      </c>
      <c r="C26" s="9">
        <v>2300</v>
      </c>
      <c r="M26" s="20" t="s">
        <v>257</v>
      </c>
      <c r="N26" s="23" t="s">
        <v>20</v>
      </c>
      <c r="O26" s="22">
        <v>510</v>
      </c>
      <c r="P26" s="23" t="s">
        <v>263</v>
      </c>
    </row>
    <row r="27" spans="1:16" x14ac:dyDescent="0.2">
      <c r="A27" s="7">
        <v>43238</v>
      </c>
      <c r="B27" s="8" t="s">
        <v>736</v>
      </c>
      <c r="C27" s="9">
        <v>218</v>
      </c>
      <c r="M27" s="20" t="s">
        <v>258</v>
      </c>
      <c r="N27" s="23" t="s">
        <v>8</v>
      </c>
      <c r="O27" s="22">
        <v>2000</v>
      </c>
      <c r="P27" s="23" t="s">
        <v>264</v>
      </c>
    </row>
    <row r="28" spans="1:16" x14ac:dyDescent="0.2">
      <c r="A28" s="7">
        <v>43241</v>
      </c>
      <c r="B28" s="8" t="s">
        <v>737</v>
      </c>
      <c r="C28" s="9">
        <v>17803.764999999999</v>
      </c>
      <c r="M28" s="20" t="s">
        <v>256</v>
      </c>
      <c r="N28" s="23" t="s">
        <v>118</v>
      </c>
      <c r="O28" s="22">
        <v>2296.8000000000002</v>
      </c>
      <c r="P28" s="23" t="s">
        <v>265</v>
      </c>
    </row>
    <row r="29" spans="1:16" x14ac:dyDescent="0.2">
      <c r="A29" s="7">
        <v>43241</v>
      </c>
      <c r="B29" s="8" t="s">
        <v>738</v>
      </c>
      <c r="C29" s="9">
        <v>1382</v>
      </c>
      <c r="D29" s="36"/>
      <c r="M29" s="20" t="s">
        <v>257</v>
      </c>
      <c r="N29" s="23" t="s">
        <v>17</v>
      </c>
      <c r="O29" s="22">
        <v>26190.77</v>
      </c>
      <c r="P29" s="23" t="s">
        <v>266</v>
      </c>
    </row>
    <row r="30" spans="1:16" x14ac:dyDescent="0.2">
      <c r="A30" s="7">
        <v>43241</v>
      </c>
      <c r="B30" s="11" t="s">
        <v>739</v>
      </c>
      <c r="C30" s="6">
        <v>1000</v>
      </c>
      <c r="M30" s="20" t="s">
        <v>257</v>
      </c>
      <c r="N30" s="23" t="s">
        <v>84</v>
      </c>
      <c r="O30" s="22">
        <v>1598.48</v>
      </c>
      <c r="P30" s="23" t="s">
        <v>267</v>
      </c>
    </row>
    <row r="31" spans="1:16" x14ac:dyDescent="0.2">
      <c r="A31" s="7">
        <v>43248</v>
      </c>
      <c r="B31" s="11" t="s">
        <v>740</v>
      </c>
      <c r="C31" s="6">
        <v>17839.474999999999</v>
      </c>
      <c r="M31" s="20" t="s">
        <v>258</v>
      </c>
      <c r="N31" s="23" t="s">
        <v>7</v>
      </c>
      <c r="O31" s="22">
        <v>5563</v>
      </c>
      <c r="P31" s="23" t="s">
        <v>268</v>
      </c>
    </row>
    <row r="32" spans="1:16" x14ac:dyDescent="0.2">
      <c r="A32" s="7">
        <v>43248</v>
      </c>
      <c r="B32" s="11" t="s">
        <v>741</v>
      </c>
      <c r="C32" s="6">
        <v>1382</v>
      </c>
      <c r="M32" s="20" t="s">
        <v>257</v>
      </c>
      <c r="N32" s="23" t="s">
        <v>122</v>
      </c>
      <c r="O32" s="22">
        <v>917.04</v>
      </c>
      <c r="P32" s="23" t="s">
        <v>269</v>
      </c>
    </row>
    <row r="33" spans="1:16" x14ac:dyDescent="0.2">
      <c r="A33" s="7">
        <v>43248</v>
      </c>
      <c r="B33" s="11" t="s">
        <v>742</v>
      </c>
      <c r="C33" s="6">
        <v>1000</v>
      </c>
      <c r="M33" s="20" t="s">
        <v>257</v>
      </c>
      <c r="N33" s="23" t="s">
        <v>181</v>
      </c>
      <c r="O33" s="22">
        <v>2988.83</v>
      </c>
      <c r="P33" s="23" t="s">
        <v>270</v>
      </c>
    </row>
    <row r="34" spans="1:16" x14ac:dyDescent="0.2">
      <c r="A34" s="7">
        <v>43249</v>
      </c>
      <c r="B34" s="11" t="s">
        <v>743</v>
      </c>
      <c r="C34" s="6">
        <v>600</v>
      </c>
      <c r="M34" s="20" t="s">
        <v>271</v>
      </c>
      <c r="N34" s="23" t="s">
        <v>272</v>
      </c>
      <c r="O34" s="22">
        <v>4524</v>
      </c>
      <c r="P34" s="23" t="s">
        <v>275</v>
      </c>
    </row>
    <row r="35" spans="1:16" x14ac:dyDescent="0.2">
      <c r="A35" s="7">
        <v>43249</v>
      </c>
      <c r="B35" s="11" t="s">
        <v>744</v>
      </c>
      <c r="C35" s="6">
        <v>700</v>
      </c>
      <c r="M35" s="20" t="s">
        <v>271</v>
      </c>
      <c r="N35" s="23" t="s">
        <v>19</v>
      </c>
      <c r="O35" s="22">
        <v>3132</v>
      </c>
      <c r="P35" s="23" t="s">
        <v>276</v>
      </c>
    </row>
    <row r="36" spans="1:16" x14ac:dyDescent="0.2">
      <c r="A36" s="7">
        <v>43249</v>
      </c>
      <c r="B36" s="13" t="s">
        <v>745</v>
      </c>
      <c r="C36" s="6">
        <v>200</v>
      </c>
      <c r="M36" s="20" t="s">
        <v>271</v>
      </c>
      <c r="N36" s="23" t="s">
        <v>61</v>
      </c>
      <c r="O36" s="22">
        <v>3700.4</v>
      </c>
      <c r="P36" s="23" t="s">
        <v>277</v>
      </c>
    </row>
    <row r="37" spans="1:16" x14ac:dyDescent="0.2">
      <c r="A37" s="7">
        <v>43249</v>
      </c>
      <c r="B37" s="8" t="s">
        <v>746</v>
      </c>
      <c r="C37" s="9">
        <v>580</v>
      </c>
      <c r="M37" s="20" t="s">
        <v>271</v>
      </c>
      <c r="N37" s="23" t="s">
        <v>23</v>
      </c>
      <c r="O37" s="22">
        <v>2320</v>
      </c>
      <c r="P37" s="23" t="s">
        <v>278</v>
      </c>
    </row>
    <row r="38" spans="1:16" x14ac:dyDescent="0.2">
      <c r="A38" s="1"/>
      <c r="B38" s="14"/>
      <c r="C38" s="15"/>
      <c r="M38" s="20" t="s">
        <v>273</v>
      </c>
      <c r="N38" s="23" t="s">
        <v>8</v>
      </c>
      <c r="O38" s="22">
        <v>3000</v>
      </c>
      <c r="P38" s="23" t="s">
        <v>279</v>
      </c>
    </row>
    <row r="39" spans="1:16" x14ac:dyDescent="0.2">
      <c r="A39" s="1"/>
      <c r="B39" s="1"/>
      <c r="C39" s="1"/>
      <c r="M39" s="20" t="s">
        <v>273</v>
      </c>
      <c r="N39" s="23" t="s">
        <v>274</v>
      </c>
      <c r="O39" s="22">
        <v>23947</v>
      </c>
      <c r="P39" s="23" t="s">
        <v>280</v>
      </c>
    </row>
    <row r="40" spans="1:16" x14ac:dyDescent="0.2">
      <c r="M40" s="20" t="s">
        <v>281</v>
      </c>
      <c r="N40" s="23" t="s">
        <v>61</v>
      </c>
      <c r="O40" s="22">
        <v>3700.4</v>
      </c>
      <c r="P40" s="23" t="s">
        <v>285</v>
      </c>
    </row>
    <row r="41" spans="1:16" x14ac:dyDescent="0.2">
      <c r="M41" s="20" t="s">
        <v>282</v>
      </c>
      <c r="N41" s="23" t="s">
        <v>8</v>
      </c>
      <c r="O41" s="22">
        <v>3000</v>
      </c>
      <c r="P41" s="23" t="s">
        <v>197</v>
      </c>
    </row>
    <row r="42" spans="1:16" x14ac:dyDescent="0.2">
      <c r="M42" s="20" t="s">
        <v>281</v>
      </c>
      <c r="N42" s="23" t="s">
        <v>283</v>
      </c>
      <c r="O42" s="22">
        <v>1160</v>
      </c>
      <c r="P42" s="23" t="s">
        <v>286</v>
      </c>
    </row>
    <row r="43" spans="1:16" x14ac:dyDescent="0.2">
      <c r="M43" s="20" t="s">
        <v>284</v>
      </c>
      <c r="N43" s="23" t="s">
        <v>9</v>
      </c>
      <c r="O43" s="22">
        <v>589</v>
      </c>
      <c r="P43" s="23" t="s">
        <v>287</v>
      </c>
    </row>
    <row r="44" spans="1:16" x14ac:dyDescent="0.2">
      <c r="M44" s="1"/>
      <c r="N44" s="25"/>
      <c r="O44" s="26"/>
    </row>
    <row r="56" spans="1:3" x14ac:dyDescent="0.2">
      <c r="A56" s="1"/>
      <c r="B56" s="1"/>
      <c r="C56" s="1"/>
    </row>
    <row r="69" spans="1:5" x14ac:dyDescent="0.2">
      <c r="D69" s="17"/>
      <c r="E69" s="1"/>
    </row>
    <row r="70" spans="1:5" x14ac:dyDescent="0.2">
      <c r="A70" s="1"/>
      <c r="B70" s="1"/>
      <c r="C70" s="1"/>
      <c r="D70" s="17"/>
      <c r="E70" s="1"/>
    </row>
    <row r="71" spans="1:5" x14ac:dyDescent="0.2">
      <c r="D71" s="17"/>
      <c r="E71" s="1"/>
    </row>
    <row r="72" spans="1:5" x14ac:dyDescent="0.2">
      <c r="D72" s="17"/>
      <c r="E72" s="1"/>
    </row>
    <row r="73" spans="1:5" x14ac:dyDescent="0.2">
      <c r="D73" s="17"/>
      <c r="E73" s="1"/>
    </row>
    <row r="74" spans="1:5" x14ac:dyDescent="0.2">
      <c r="D74" s="17"/>
      <c r="E74" s="1"/>
    </row>
    <row r="75" spans="1:5" x14ac:dyDescent="0.2">
      <c r="D75" s="17"/>
      <c r="E75" s="1"/>
    </row>
    <row r="76" spans="1:5" x14ac:dyDescent="0.2">
      <c r="D76" s="17"/>
      <c r="E76" s="1"/>
    </row>
    <row r="77" spans="1:5" x14ac:dyDescent="0.2">
      <c r="D77" s="18"/>
      <c r="E77" s="1"/>
    </row>
    <row r="78" spans="1:5" x14ac:dyDescent="0.2">
      <c r="D78" s="18"/>
      <c r="E78" s="1"/>
    </row>
    <row r="79" spans="1:5" x14ac:dyDescent="0.2">
      <c r="D79" s="18"/>
      <c r="E79" s="1"/>
    </row>
    <row r="80" spans="1:5" x14ac:dyDescent="0.2">
      <c r="D80" s="18"/>
      <c r="E80" s="1"/>
    </row>
    <row r="81" spans="1:5" x14ac:dyDescent="0.2">
      <c r="D81" s="18"/>
      <c r="E81" s="1"/>
    </row>
    <row r="82" spans="1:5" x14ac:dyDescent="0.2">
      <c r="D82" s="18"/>
      <c r="E82" s="1"/>
    </row>
    <row r="83" spans="1:5" s="34" customFormat="1" x14ac:dyDescent="0.2">
      <c r="D83" s="17"/>
      <c r="E83" s="33"/>
    </row>
    <row r="84" spans="1:5" x14ac:dyDescent="0.2">
      <c r="A84" s="33"/>
      <c r="B84" s="33"/>
      <c r="C84" s="33"/>
      <c r="D84" s="17"/>
      <c r="E84" s="1"/>
    </row>
    <row r="85" spans="1:5" x14ac:dyDescent="0.2">
      <c r="A85" s="33"/>
      <c r="B85" s="33"/>
      <c r="C85" s="33"/>
      <c r="D85" s="17"/>
      <c r="E85" s="1"/>
    </row>
    <row r="86" spans="1:5" x14ac:dyDescent="0.2">
      <c r="A86" s="1"/>
      <c r="B86" s="1"/>
      <c r="C86" s="1"/>
      <c r="D86" s="17"/>
      <c r="E86" s="1"/>
    </row>
    <row r="87" spans="1:5" x14ac:dyDescent="0.2">
      <c r="E87" s="1"/>
    </row>
    <row r="88" spans="1:5" x14ac:dyDescent="0.2">
      <c r="E88" s="1"/>
    </row>
    <row r="89" spans="1:5" x14ac:dyDescent="0.2">
      <c r="E89" s="1"/>
    </row>
    <row r="90" spans="1:5" x14ac:dyDescent="0.2">
      <c r="E90" s="1"/>
    </row>
    <row r="91" spans="1:5" x14ac:dyDescent="0.2">
      <c r="E91" s="1"/>
    </row>
    <row r="92" spans="1:5" x14ac:dyDescent="0.2">
      <c r="E92" s="1"/>
    </row>
    <row r="93" spans="1:5" x14ac:dyDescent="0.2">
      <c r="E93" s="1"/>
    </row>
    <row r="94" spans="1:5" x14ac:dyDescent="0.2">
      <c r="E94" s="1"/>
    </row>
    <row r="95" spans="1:5" x14ac:dyDescent="0.2">
      <c r="E95" s="1"/>
    </row>
    <row r="96" spans="1:5" x14ac:dyDescent="0.2">
      <c r="E96" s="1"/>
    </row>
    <row r="97" spans="5:5" x14ac:dyDescent="0.2">
      <c r="E97" s="1"/>
    </row>
    <row r="98" spans="5:5" x14ac:dyDescent="0.2">
      <c r="E98" s="1"/>
    </row>
    <row r="99" spans="5:5" x14ac:dyDescent="0.2">
      <c r="E99" s="1"/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P96"/>
  <sheetViews>
    <sheetView topLeftCell="H1" zoomScaleNormal="100" workbookViewId="0">
      <selection activeCell="M1" sqref="M1:P1"/>
    </sheetView>
  </sheetViews>
  <sheetFormatPr baseColWidth="10" defaultRowHeight="12" x14ac:dyDescent="0.2"/>
  <cols>
    <col min="1" max="1" width="10.7109375" style="2" customWidth="1"/>
    <col min="2" max="2" width="15.28515625" style="2" customWidth="1"/>
    <col min="3" max="3" width="12.28515625" style="2" bestFit="1" customWidth="1"/>
    <col min="4" max="4" width="10.28515625" style="2" bestFit="1" customWidth="1"/>
    <col min="5" max="5" width="11.42578125" style="2"/>
    <col min="6" max="6" width="12" style="2" bestFit="1" customWidth="1"/>
    <col min="7" max="16384" width="11.42578125" style="2"/>
  </cols>
  <sheetData>
    <row r="1" spans="1:16" x14ac:dyDescent="0.2">
      <c r="A1" s="1"/>
      <c r="B1" s="3" t="s">
        <v>0</v>
      </c>
      <c r="C1" s="3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35" t="s">
        <v>494</v>
      </c>
    </row>
    <row r="2" spans="1:16" ht="24" x14ac:dyDescent="0.2">
      <c r="A2" s="4">
        <v>43196</v>
      </c>
      <c r="B2" s="5" t="s">
        <v>747</v>
      </c>
      <c r="C2" s="6">
        <v>17568.044999999998</v>
      </c>
      <c r="D2" s="12">
        <v>43196</v>
      </c>
      <c r="E2" s="27" t="s">
        <v>748</v>
      </c>
      <c r="F2" s="6">
        <v>20447.656999999999</v>
      </c>
      <c r="G2" s="16">
        <v>43196</v>
      </c>
      <c r="H2" s="13" t="s">
        <v>749</v>
      </c>
      <c r="I2" s="6">
        <v>11895.21</v>
      </c>
      <c r="J2" s="16">
        <v>43196</v>
      </c>
      <c r="K2" s="13" t="s">
        <v>750</v>
      </c>
      <c r="L2" s="6">
        <v>10100.18</v>
      </c>
      <c r="M2" s="20" t="s">
        <v>288</v>
      </c>
      <c r="N2" s="21" t="s">
        <v>4</v>
      </c>
      <c r="O2" s="22">
        <v>10230</v>
      </c>
      <c r="P2" s="23" t="s">
        <v>289</v>
      </c>
    </row>
    <row r="3" spans="1:16" x14ac:dyDescent="0.2">
      <c r="A3" s="4">
        <v>43196</v>
      </c>
      <c r="B3" s="8" t="s">
        <v>751</v>
      </c>
      <c r="C3" s="9">
        <v>1382</v>
      </c>
      <c r="D3" s="4">
        <v>43196</v>
      </c>
      <c r="E3" s="11" t="s">
        <v>752</v>
      </c>
      <c r="F3" s="9">
        <v>800</v>
      </c>
      <c r="G3" s="7" t="s">
        <v>319</v>
      </c>
      <c r="H3" s="8" t="s">
        <v>753</v>
      </c>
      <c r="I3" s="9">
        <v>810</v>
      </c>
      <c r="J3" s="7" t="s">
        <v>754</v>
      </c>
      <c r="K3" s="11" t="s">
        <v>561</v>
      </c>
      <c r="L3" s="6">
        <v>573</v>
      </c>
      <c r="M3" s="20">
        <v>43281</v>
      </c>
      <c r="N3" s="21" t="s">
        <v>4</v>
      </c>
      <c r="O3" s="22">
        <v>9387.7800000000007</v>
      </c>
      <c r="P3" s="23" t="s">
        <v>5</v>
      </c>
    </row>
    <row r="4" spans="1:16" x14ac:dyDescent="0.2">
      <c r="A4" s="4">
        <v>43196</v>
      </c>
      <c r="B4" s="10" t="s">
        <v>755</v>
      </c>
      <c r="C4" s="6">
        <v>1000</v>
      </c>
      <c r="D4" s="12">
        <v>43410</v>
      </c>
      <c r="E4" s="13" t="s">
        <v>756</v>
      </c>
      <c r="F4" s="6">
        <v>21794.14</v>
      </c>
      <c r="G4" s="7" t="s">
        <v>754</v>
      </c>
      <c r="H4" s="11" t="s">
        <v>560</v>
      </c>
      <c r="I4" s="6">
        <v>591</v>
      </c>
      <c r="J4" s="16">
        <v>43410</v>
      </c>
      <c r="K4" s="13" t="s">
        <v>757</v>
      </c>
      <c r="L4" s="6">
        <v>9814.4599999999991</v>
      </c>
      <c r="M4" s="20" t="s">
        <v>290</v>
      </c>
      <c r="N4" s="24" t="s">
        <v>8</v>
      </c>
      <c r="O4" s="22">
        <v>3000</v>
      </c>
      <c r="P4" s="23" t="s">
        <v>28</v>
      </c>
    </row>
    <row r="5" spans="1:16" x14ac:dyDescent="0.2">
      <c r="A5" s="7">
        <v>43257</v>
      </c>
      <c r="B5" s="11" t="s">
        <v>758</v>
      </c>
      <c r="C5" s="9">
        <v>836</v>
      </c>
      <c r="D5" s="7">
        <v>43318</v>
      </c>
      <c r="E5" s="8" t="s">
        <v>759</v>
      </c>
      <c r="F5" s="9">
        <v>3819</v>
      </c>
      <c r="G5" s="7" t="s">
        <v>319</v>
      </c>
      <c r="H5" s="8" t="s">
        <v>760</v>
      </c>
      <c r="I5" s="9">
        <v>187</v>
      </c>
      <c r="J5" s="16" t="s">
        <v>321</v>
      </c>
      <c r="K5" s="13" t="s">
        <v>761</v>
      </c>
      <c r="L5" s="6">
        <v>10407.32</v>
      </c>
      <c r="M5" s="20" t="s">
        <v>288</v>
      </c>
      <c r="N5" s="24" t="s">
        <v>291</v>
      </c>
      <c r="O5" s="22">
        <v>1740</v>
      </c>
      <c r="P5" s="23" t="s">
        <v>292</v>
      </c>
    </row>
    <row r="6" spans="1:16" x14ac:dyDescent="0.2">
      <c r="A6" s="7">
        <v>43257</v>
      </c>
      <c r="B6" s="11" t="s">
        <v>762</v>
      </c>
      <c r="C6" s="9">
        <v>2200</v>
      </c>
      <c r="D6" s="7">
        <v>43318</v>
      </c>
      <c r="E6" s="8" t="s">
        <v>763</v>
      </c>
      <c r="F6" s="9">
        <v>140.44999999999999</v>
      </c>
      <c r="G6" s="7">
        <v>43318</v>
      </c>
      <c r="H6" s="8" t="s">
        <v>764</v>
      </c>
      <c r="I6" s="9">
        <v>3004.5</v>
      </c>
      <c r="J6" s="16" t="s">
        <v>330</v>
      </c>
      <c r="K6" s="13" t="s">
        <v>765</v>
      </c>
      <c r="L6" s="6">
        <v>10700.18</v>
      </c>
      <c r="M6" s="20" t="s">
        <v>288</v>
      </c>
      <c r="N6" s="24" t="s">
        <v>13</v>
      </c>
      <c r="O6" s="22">
        <v>23200</v>
      </c>
      <c r="P6" s="23" t="s">
        <v>293</v>
      </c>
    </row>
    <row r="7" spans="1:16" x14ac:dyDescent="0.2">
      <c r="A7" s="7">
        <v>43257</v>
      </c>
      <c r="B7" s="11" t="s">
        <v>766</v>
      </c>
      <c r="C7" s="9">
        <v>4076</v>
      </c>
      <c r="D7" s="7" t="s">
        <v>319</v>
      </c>
      <c r="E7" s="8" t="s">
        <v>767</v>
      </c>
      <c r="F7" s="9">
        <v>85</v>
      </c>
      <c r="G7" s="16">
        <v>43410</v>
      </c>
      <c r="H7" s="13" t="s">
        <v>768</v>
      </c>
      <c r="I7" s="6">
        <v>10793.05</v>
      </c>
      <c r="J7" s="16">
        <v>43138</v>
      </c>
      <c r="K7" s="13" t="s">
        <v>769</v>
      </c>
      <c r="L7" s="6">
        <v>12200.18</v>
      </c>
      <c r="M7" s="20" t="s">
        <v>288</v>
      </c>
      <c r="N7" s="21" t="s">
        <v>61</v>
      </c>
      <c r="O7" s="22">
        <v>3700.4</v>
      </c>
      <c r="P7" s="23" t="s">
        <v>294</v>
      </c>
    </row>
    <row r="8" spans="1:16" ht="12.75" x14ac:dyDescent="0.2">
      <c r="A8" s="29">
        <v>43318</v>
      </c>
      <c r="B8" s="40" t="s">
        <v>770</v>
      </c>
      <c r="C8" s="39">
        <v>83</v>
      </c>
      <c r="D8" s="7" t="s">
        <v>754</v>
      </c>
      <c r="E8" s="11" t="s">
        <v>559</v>
      </c>
      <c r="F8" s="6">
        <v>591</v>
      </c>
      <c r="G8" s="16" t="s">
        <v>321</v>
      </c>
      <c r="H8" s="13" t="s">
        <v>771</v>
      </c>
      <c r="I8" s="6">
        <v>9207.31</v>
      </c>
      <c r="J8" s="1"/>
      <c r="K8" s="14"/>
      <c r="L8" s="15"/>
      <c r="M8" s="20" t="s">
        <v>288</v>
      </c>
      <c r="N8" s="24" t="s">
        <v>20</v>
      </c>
      <c r="O8" s="22">
        <v>510</v>
      </c>
      <c r="P8" s="23" t="s">
        <v>295</v>
      </c>
    </row>
    <row r="9" spans="1:16" ht="12.75" x14ac:dyDescent="0.2">
      <c r="A9" s="29">
        <v>43318</v>
      </c>
      <c r="B9" s="40" t="s">
        <v>772</v>
      </c>
      <c r="C9" s="39">
        <v>242</v>
      </c>
      <c r="D9" s="7">
        <v>43138</v>
      </c>
      <c r="E9" s="11" t="s">
        <v>773</v>
      </c>
      <c r="F9" s="6">
        <v>800</v>
      </c>
      <c r="G9" s="16" t="s">
        <v>330</v>
      </c>
      <c r="H9" s="13" t="s">
        <v>774</v>
      </c>
      <c r="I9" s="6">
        <v>9290.1299999999992</v>
      </c>
      <c r="M9" s="20" t="s">
        <v>288</v>
      </c>
      <c r="N9" s="24" t="s">
        <v>84</v>
      </c>
      <c r="O9" s="22">
        <v>1158.26</v>
      </c>
      <c r="P9" s="23" t="s">
        <v>296</v>
      </c>
    </row>
    <row r="10" spans="1:16" x14ac:dyDescent="0.2">
      <c r="A10" s="7">
        <v>43318</v>
      </c>
      <c r="B10" s="8" t="s">
        <v>775</v>
      </c>
      <c r="C10" s="9">
        <v>200</v>
      </c>
      <c r="D10" s="7">
        <v>43138</v>
      </c>
      <c r="E10" s="11" t="s">
        <v>776</v>
      </c>
      <c r="F10" s="6">
        <v>4371</v>
      </c>
      <c r="G10" s="16">
        <v>43138</v>
      </c>
      <c r="H10" s="13" t="s">
        <v>777</v>
      </c>
      <c r="I10" s="6">
        <v>11571.61</v>
      </c>
      <c r="M10" s="20" t="s">
        <v>288</v>
      </c>
      <c r="N10" s="24" t="s">
        <v>283</v>
      </c>
      <c r="O10" s="22">
        <v>1508</v>
      </c>
      <c r="P10" s="23" t="s">
        <v>297</v>
      </c>
    </row>
    <row r="11" spans="1:16" x14ac:dyDescent="0.2">
      <c r="A11" s="7">
        <v>43318</v>
      </c>
      <c r="B11" s="8" t="s">
        <v>778</v>
      </c>
      <c r="C11" s="9">
        <v>500</v>
      </c>
      <c r="D11" s="7">
        <v>43138</v>
      </c>
      <c r="E11" s="11" t="s">
        <v>779</v>
      </c>
      <c r="F11" s="6">
        <v>244</v>
      </c>
      <c r="G11" s="16" t="s">
        <v>780</v>
      </c>
      <c r="H11" s="13" t="s">
        <v>443</v>
      </c>
      <c r="I11" s="6">
        <v>11781.9</v>
      </c>
      <c r="M11" s="20" t="s">
        <v>288</v>
      </c>
      <c r="N11" s="23" t="s">
        <v>9</v>
      </c>
      <c r="O11" s="22">
        <v>658</v>
      </c>
      <c r="P11" s="23" t="s">
        <v>298</v>
      </c>
    </row>
    <row r="12" spans="1:16" x14ac:dyDescent="0.2">
      <c r="A12" s="7">
        <v>43410</v>
      </c>
      <c r="B12" s="8" t="s">
        <v>781</v>
      </c>
      <c r="C12" s="9">
        <v>18796.625</v>
      </c>
      <c r="D12" s="7" t="s">
        <v>319</v>
      </c>
      <c r="E12" s="8" t="s">
        <v>760</v>
      </c>
      <c r="F12" s="9">
        <v>187</v>
      </c>
      <c r="G12" s="1"/>
      <c r="H12" s="14"/>
      <c r="I12" s="15"/>
      <c r="M12" s="20" t="s">
        <v>299</v>
      </c>
      <c r="N12" s="21" t="s">
        <v>7</v>
      </c>
      <c r="O12" s="22">
        <v>7650</v>
      </c>
      <c r="P12" s="23" t="s">
        <v>301</v>
      </c>
    </row>
    <row r="13" spans="1:16" x14ac:dyDescent="0.2">
      <c r="A13" s="7">
        <v>43410</v>
      </c>
      <c r="B13" s="8" t="s">
        <v>782</v>
      </c>
      <c r="C13" s="9">
        <v>1382</v>
      </c>
      <c r="D13" s="7">
        <v>43318</v>
      </c>
      <c r="E13" s="8" t="s">
        <v>783</v>
      </c>
      <c r="F13" s="9">
        <v>414</v>
      </c>
      <c r="M13" s="20" t="s">
        <v>299</v>
      </c>
      <c r="N13" s="21" t="s">
        <v>98</v>
      </c>
      <c r="O13" s="22">
        <v>930</v>
      </c>
      <c r="P13" s="23" t="s">
        <v>302</v>
      </c>
    </row>
    <row r="14" spans="1:16" x14ac:dyDescent="0.2">
      <c r="A14" s="7">
        <v>43410</v>
      </c>
      <c r="B14" s="8" t="s">
        <v>784</v>
      </c>
      <c r="C14" s="9">
        <v>1000</v>
      </c>
      <c r="D14" s="7" t="s">
        <v>321</v>
      </c>
      <c r="E14" s="10" t="s">
        <v>785</v>
      </c>
      <c r="F14" s="6">
        <v>22908.447</v>
      </c>
      <c r="M14" s="20" t="s">
        <v>300</v>
      </c>
      <c r="N14" s="23" t="s">
        <v>306</v>
      </c>
      <c r="O14" s="22">
        <v>964</v>
      </c>
      <c r="P14" s="23" t="s">
        <v>303</v>
      </c>
    </row>
    <row r="15" spans="1:16" x14ac:dyDescent="0.2">
      <c r="A15" s="7">
        <v>43440</v>
      </c>
      <c r="B15" s="8" t="s">
        <v>786</v>
      </c>
      <c r="C15" s="9">
        <v>4000</v>
      </c>
      <c r="D15" s="12" t="s">
        <v>330</v>
      </c>
      <c r="E15" s="13" t="s">
        <v>787</v>
      </c>
      <c r="F15" s="6">
        <v>22008.45</v>
      </c>
      <c r="M15" s="20" t="s">
        <v>299</v>
      </c>
      <c r="N15" s="23" t="s">
        <v>180</v>
      </c>
      <c r="O15" s="22">
        <v>7920</v>
      </c>
      <c r="P15" s="23" t="s">
        <v>304</v>
      </c>
    </row>
    <row r="16" spans="1:16" x14ac:dyDescent="0.2">
      <c r="A16" s="7">
        <v>43440</v>
      </c>
      <c r="B16" s="8" t="s">
        <v>788</v>
      </c>
      <c r="C16" s="9">
        <v>500</v>
      </c>
      <c r="D16" s="12">
        <v>43138</v>
      </c>
      <c r="E16" s="13" t="s">
        <v>789</v>
      </c>
      <c r="F16" s="6">
        <v>24745.627</v>
      </c>
      <c r="M16" s="20" t="s">
        <v>299</v>
      </c>
      <c r="N16" s="23" t="s">
        <v>79</v>
      </c>
      <c r="O16" s="22">
        <v>4890.1000000000004</v>
      </c>
      <c r="P16" s="23" t="s">
        <v>305</v>
      </c>
    </row>
    <row r="17" spans="1:16" x14ac:dyDescent="0.2">
      <c r="A17" s="7" t="s">
        <v>308</v>
      </c>
      <c r="B17" s="8" t="s">
        <v>790</v>
      </c>
      <c r="C17" s="9">
        <v>500</v>
      </c>
      <c r="D17" s="12" t="s">
        <v>780</v>
      </c>
      <c r="E17" s="13" t="s">
        <v>443</v>
      </c>
      <c r="F17" s="6">
        <v>7819.5</v>
      </c>
      <c r="M17" s="20" t="s">
        <v>299</v>
      </c>
      <c r="N17" s="23" t="s">
        <v>11</v>
      </c>
      <c r="O17" s="22">
        <v>71.92</v>
      </c>
      <c r="P17" s="23" t="s">
        <v>12</v>
      </c>
    </row>
    <row r="18" spans="1:16" x14ac:dyDescent="0.2">
      <c r="A18" s="7" t="s">
        <v>319</v>
      </c>
      <c r="B18" s="8" t="s">
        <v>791</v>
      </c>
      <c r="C18" s="9">
        <v>150</v>
      </c>
      <c r="D18" s="1"/>
      <c r="E18" s="14"/>
      <c r="F18" s="15"/>
      <c r="M18" s="20" t="s">
        <v>307</v>
      </c>
      <c r="N18" s="23" t="s">
        <v>8</v>
      </c>
      <c r="O18" s="22">
        <v>3000</v>
      </c>
      <c r="P18" s="23" t="s">
        <v>28</v>
      </c>
    </row>
    <row r="19" spans="1:16" x14ac:dyDescent="0.2">
      <c r="A19" s="7" t="s">
        <v>319</v>
      </c>
      <c r="B19" s="8" t="s">
        <v>792</v>
      </c>
      <c r="C19" s="9">
        <v>1646.55</v>
      </c>
      <c r="M19" s="20" t="s">
        <v>308</v>
      </c>
      <c r="N19" s="23" t="s">
        <v>61</v>
      </c>
      <c r="O19" s="22">
        <v>3700.4</v>
      </c>
      <c r="P19" s="23" t="s">
        <v>310</v>
      </c>
    </row>
    <row r="20" spans="1:16" x14ac:dyDescent="0.2">
      <c r="A20" s="29" t="s">
        <v>319</v>
      </c>
      <c r="B20" s="30" t="s">
        <v>793</v>
      </c>
      <c r="C20" s="31">
        <v>2380</v>
      </c>
      <c r="M20" s="20" t="s">
        <v>308</v>
      </c>
      <c r="N20" s="23" t="s">
        <v>10</v>
      </c>
      <c r="O20" s="22">
        <v>2204</v>
      </c>
      <c r="P20" s="23" t="s">
        <v>311</v>
      </c>
    </row>
    <row r="21" spans="1:16" x14ac:dyDescent="0.2">
      <c r="A21" s="7" t="s">
        <v>321</v>
      </c>
      <c r="B21" s="8" t="s">
        <v>794</v>
      </c>
      <c r="C21" s="9">
        <v>17397.195</v>
      </c>
      <c r="D21" s="36"/>
      <c r="M21" s="20" t="s">
        <v>308</v>
      </c>
      <c r="N21" s="23" t="s">
        <v>17</v>
      </c>
      <c r="O21" s="22">
        <v>11391.91</v>
      </c>
      <c r="P21" s="23" t="s">
        <v>312</v>
      </c>
    </row>
    <row r="22" spans="1:16" x14ac:dyDescent="0.2">
      <c r="A22" s="7" t="s">
        <v>321</v>
      </c>
      <c r="B22" s="8" t="s">
        <v>795</v>
      </c>
      <c r="C22" s="9">
        <v>1382</v>
      </c>
      <c r="D22" s="36"/>
      <c r="M22" s="20" t="s">
        <v>308</v>
      </c>
      <c r="N22" s="23" t="s">
        <v>162</v>
      </c>
      <c r="O22" s="22">
        <v>2117</v>
      </c>
      <c r="P22" s="23" t="s">
        <v>313</v>
      </c>
    </row>
    <row r="23" spans="1:16" x14ac:dyDescent="0.2">
      <c r="A23" s="7" t="s">
        <v>321</v>
      </c>
      <c r="B23" s="8" t="s">
        <v>796</v>
      </c>
      <c r="C23" s="9">
        <v>1000</v>
      </c>
      <c r="D23" s="36"/>
      <c r="M23" s="20" t="s">
        <v>308</v>
      </c>
      <c r="N23" s="23" t="s">
        <v>309</v>
      </c>
      <c r="O23" s="22">
        <v>6194.5</v>
      </c>
      <c r="P23" s="23" t="s">
        <v>314</v>
      </c>
    </row>
    <row r="24" spans="1:16" x14ac:dyDescent="0.2">
      <c r="A24" s="7" t="s">
        <v>328</v>
      </c>
      <c r="B24" s="8" t="s">
        <v>797</v>
      </c>
      <c r="C24" s="9">
        <v>800</v>
      </c>
      <c r="D24" s="36"/>
      <c r="M24" s="20" t="s">
        <v>308</v>
      </c>
      <c r="N24" s="23" t="s">
        <v>122</v>
      </c>
      <c r="O24" s="22">
        <v>458.52</v>
      </c>
      <c r="P24" s="23" t="s">
        <v>315</v>
      </c>
    </row>
    <row r="25" spans="1:16" x14ac:dyDescent="0.2">
      <c r="A25" s="7" t="s">
        <v>330</v>
      </c>
      <c r="B25" s="8" t="s">
        <v>798</v>
      </c>
      <c r="C25" s="9">
        <v>18109.060000000001</v>
      </c>
      <c r="D25" s="36"/>
      <c r="M25" s="20" t="s">
        <v>308</v>
      </c>
      <c r="N25" s="23" t="s">
        <v>9</v>
      </c>
      <c r="O25" s="22">
        <v>2215</v>
      </c>
      <c r="P25" s="23" t="s">
        <v>316</v>
      </c>
    </row>
    <row r="26" spans="1:16" x14ac:dyDescent="0.2">
      <c r="A26" s="7" t="s">
        <v>330</v>
      </c>
      <c r="B26" s="11" t="s">
        <v>799</v>
      </c>
      <c r="C26" s="6">
        <v>1382</v>
      </c>
      <c r="M26" s="20" t="s">
        <v>317</v>
      </c>
      <c r="N26" s="23" t="s">
        <v>7</v>
      </c>
      <c r="O26" s="22">
        <v>5790</v>
      </c>
      <c r="P26" s="23" t="s">
        <v>318</v>
      </c>
    </row>
    <row r="27" spans="1:16" x14ac:dyDescent="0.2">
      <c r="A27" s="7" t="s">
        <v>330</v>
      </c>
      <c r="B27" s="11" t="s">
        <v>800</v>
      </c>
      <c r="C27" s="6">
        <v>1000</v>
      </c>
      <c r="M27" s="20" t="s">
        <v>319</v>
      </c>
      <c r="N27" s="23" t="s">
        <v>14</v>
      </c>
      <c r="O27" s="22">
        <v>52450.09</v>
      </c>
      <c r="P27" s="23" t="s">
        <v>320</v>
      </c>
    </row>
    <row r="28" spans="1:16" x14ac:dyDescent="0.2">
      <c r="A28" s="7">
        <v>43138</v>
      </c>
      <c r="B28" s="11" t="s">
        <v>801</v>
      </c>
      <c r="C28" s="6">
        <v>18716.2</v>
      </c>
      <c r="M28" s="20" t="s">
        <v>321</v>
      </c>
      <c r="N28" s="23" t="s">
        <v>8</v>
      </c>
      <c r="O28" s="22">
        <v>3000</v>
      </c>
      <c r="P28" s="23" t="s">
        <v>89</v>
      </c>
    </row>
    <row r="29" spans="1:16" x14ac:dyDescent="0.2">
      <c r="A29" s="7">
        <v>43138</v>
      </c>
      <c r="B29" s="11" t="s">
        <v>802</v>
      </c>
      <c r="C29" s="6">
        <v>1382</v>
      </c>
      <c r="M29" s="20" t="s">
        <v>321</v>
      </c>
      <c r="N29" s="23" t="s">
        <v>309</v>
      </c>
      <c r="O29" s="22">
        <v>4525.5</v>
      </c>
      <c r="P29" s="23" t="s">
        <v>322</v>
      </c>
    </row>
    <row r="30" spans="1:16" x14ac:dyDescent="0.2">
      <c r="A30" s="7">
        <v>43138</v>
      </c>
      <c r="B30" s="11" t="s">
        <v>803</v>
      </c>
      <c r="C30" s="6">
        <v>1000</v>
      </c>
      <c r="M30" s="20" t="s">
        <v>323</v>
      </c>
      <c r="N30" s="23" t="s">
        <v>272</v>
      </c>
      <c r="O30" s="22">
        <v>4524</v>
      </c>
      <c r="P30" s="23" t="s">
        <v>324</v>
      </c>
    </row>
    <row r="31" spans="1:16" x14ac:dyDescent="0.2">
      <c r="A31" s="7">
        <v>43138</v>
      </c>
      <c r="B31" s="11" t="s">
        <v>804</v>
      </c>
      <c r="C31" s="6">
        <v>200</v>
      </c>
      <c r="M31" s="20" t="s">
        <v>323</v>
      </c>
      <c r="N31" s="23" t="s">
        <v>291</v>
      </c>
      <c r="O31" s="22">
        <v>1160</v>
      </c>
      <c r="P31" s="23" t="s">
        <v>325</v>
      </c>
    </row>
    <row r="32" spans="1:16" x14ac:dyDescent="0.2">
      <c r="A32" s="7">
        <v>43138</v>
      </c>
      <c r="B32" s="11" t="s">
        <v>805</v>
      </c>
      <c r="C32" s="6">
        <v>200</v>
      </c>
      <c r="M32" s="20" t="s">
        <v>323</v>
      </c>
      <c r="N32" s="23" t="s">
        <v>61</v>
      </c>
      <c r="O32" s="22">
        <v>3700.4</v>
      </c>
      <c r="P32" s="23" t="s">
        <v>326</v>
      </c>
    </row>
    <row r="33" spans="1:16" x14ac:dyDescent="0.2">
      <c r="A33" s="7">
        <v>43138</v>
      </c>
      <c r="B33" s="11" t="s">
        <v>806</v>
      </c>
      <c r="C33" s="6">
        <v>200</v>
      </c>
      <c r="M33" s="20" t="s">
        <v>323</v>
      </c>
      <c r="N33" s="23" t="s">
        <v>145</v>
      </c>
      <c r="O33" s="22">
        <v>2726</v>
      </c>
      <c r="P33" s="23" t="s">
        <v>327</v>
      </c>
    </row>
    <row r="34" spans="1:16" x14ac:dyDescent="0.2">
      <c r="A34" s="7">
        <v>43138</v>
      </c>
      <c r="B34" s="11" t="s">
        <v>807</v>
      </c>
      <c r="C34" s="6">
        <v>100</v>
      </c>
      <c r="M34" s="20" t="s">
        <v>328</v>
      </c>
      <c r="N34" s="23" t="s">
        <v>18</v>
      </c>
      <c r="O34" s="22">
        <v>24776</v>
      </c>
      <c r="P34" s="23" t="s">
        <v>329</v>
      </c>
    </row>
    <row r="35" spans="1:16" x14ac:dyDescent="0.2">
      <c r="A35" s="7">
        <v>43138</v>
      </c>
      <c r="B35" s="11" t="s">
        <v>808</v>
      </c>
      <c r="C35" s="6">
        <v>100</v>
      </c>
      <c r="M35" s="20" t="s">
        <v>330</v>
      </c>
      <c r="N35" s="23" t="s">
        <v>7</v>
      </c>
      <c r="O35" s="22">
        <v>19623</v>
      </c>
      <c r="P35" s="23" t="s">
        <v>331</v>
      </c>
    </row>
    <row r="36" spans="1:16" x14ac:dyDescent="0.2">
      <c r="A36" s="7">
        <v>43138</v>
      </c>
      <c r="B36" s="11" t="s">
        <v>809</v>
      </c>
      <c r="C36" s="6">
        <v>100</v>
      </c>
      <c r="M36" s="20" t="s">
        <v>330</v>
      </c>
      <c r="N36" s="23" t="s">
        <v>8</v>
      </c>
      <c r="O36" s="22">
        <v>3000</v>
      </c>
      <c r="P36" s="23" t="s">
        <v>28</v>
      </c>
    </row>
    <row r="37" spans="1:16" x14ac:dyDescent="0.2">
      <c r="A37" s="7">
        <v>43138</v>
      </c>
      <c r="B37" s="11" t="s">
        <v>810</v>
      </c>
      <c r="C37" s="6">
        <v>100</v>
      </c>
      <c r="M37" s="20" t="s">
        <v>332</v>
      </c>
      <c r="N37" s="23" t="s">
        <v>9</v>
      </c>
      <c r="O37" s="22">
        <v>589</v>
      </c>
      <c r="P37" s="23" t="s">
        <v>333</v>
      </c>
    </row>
    <row r="38" spans="1:16" ht="12.75" x14ac:dyDescent="0.2">
      <c r="A38" s="7" t="s">
        <v>754</v>
      </c>
      <c r="B38" s="38" t="s">
        <v>811</v>
      </c>
      <c r="C38" s="41">
        <v>200</v>
      </c>
      <c r="M38" s="20" t="s">
        <v>334</v>
      </c>
      <c r="N38" s="23" t="s">
        <v>19</v>
      </c>
      <c r="O38" s="22">
        <v>3132</v>
      </c>
      <c r="P38" s="23" t="s">
        <v>335</v>
      </c>
    </row>
    <row r="39" spans="1:16" x14ac:dyDescent="0.2">
      <c r="A39" s="1"/>
      <c r="B39" s="14"/>
      <c r="C39" s="15"/>
      <c r="M39" s="20" t="s">
        <v>334</v>
      </c>
      <c r="N39" s="23" t="s">
        <v>61</v>
      </c>
      <c r="O39" s="22">
        <v>3700.4</v>
      </c>
      <c r="P39" s="23" t="s">
        <v>336</v>
      </c>
    </row>
    <row r="40" spans="1:16" x14ac:dyDescent="0.2">
      <c r="A40" s="1"/>
      <c r="B40" s="1"/>
      <c r="C40" s="1"/>
      <c r="M40" s="20" t="s">
        <v>334</v>
      </c>
      <c r="N40" s="23" t="s">
        <v>23</v>
      </c>
      <c r="O40" s="22">
        <v>2320</v>
      </c>
      <c r="P40" s="23" t="s">
        <v>337</v>
      </c>
    </row>
    <row r="41" spans="1:16" x14ac:dyDescent="0.2">
      <c r="M41" s="1"/>
      <c r="N41" s="25"/>
      <c r="O41" s="26"/>
    </row>
    <row r="59" spans="1:3" x14ac:dyDescent="0.2">
      <c r="A59" s="1"/>
      <c r="B59" s="1"/>
      <c r="C59" s="1"/>
    </row>
    <row r="71" spans="1:5" x14ac:dyDescent="0.2">
      <c r="D71" s="17"/>
      <c r="E71" s="1"/>
    </row>
    <row r="72" spans="1:5" x14ac:dyDescent="0.2">
      <c r="A72" s="1"/>
      <c r="B72" s="1"/>
      <c r="C72" s="1"/>
      <c r="D72" s="17"/>
      <c r="E72" s="1"/>
    </row>
    <row r="73" spans="1:5" x14ac:dyDescent="0.2">
      <c r="D73" s="17"/>
      <c r="E73" s="1"/>
    </row>
    <row r="74" spans="1:5" x14ac:dyDescent="0.2">
      <c r="D74" s="17"/>
      <c r="E74" s="1"/>
    </row>
    <row r="76" spans="1:5" x14ac:dyDescent="0.2">
      <c r="D76" s="17"/>
      <c r="E76" s="1"/>
    </row>
    <row r="77" spans="1:5" x14ac:dyDescent="0.2">
      <c r="D77" s="17"/>
      <c r="E77" s="1"/>
    </row>
    <row r="78" spans="1:5" x14ac:dyDescent="0.2">
      <c r="D78" s="17"/>
      <c r="E78" s="1"/>
    </row>
    <row r="79" spans="1:5" x14ac:dyDescent="0.2">
      <c r="D79" s="17"/>
      <c r="E79" s="1"/>
    </row>
    <row r="80" spans="1:5" s="34" customFormat="1" x14ac:dyDescent="0.2">
      <c r="D80" s="17"/>
      <c r="E80" s="33"/>
    </row>
    <row r="81" spans="1:5" x14ac:dyDescent="0.2">
      <c r="A81" s="33"/>
      <c r="B81" s="33"/>
      <c r="C81" s="33"/>
      <c r="D81" s="17"/>
      <c r="E81" s="1"/>
    </row>
    <row r="82" spans="1:5" x14ac:dyDescent="0.2">
      <c r="A82" s="33"/>
      <c r="B82" s="33"/>
      <c r="C82" s="33"/>
      <c r="D82" s="17"/>
      <c r="E82" s="1"/>
    </row>
    <row r="83" spans="1:5" x14ac:dyDescent="0.2">
      <c r="A83" s="1"/>
      <c r="B83" s="1"/>
      <c r="C83" s="1"/>
      <c r="D83" s="17"/>
      <c r="E83" s="1"/>
    </row>
    <row r="84" spans="1:5" x14ac:dyDescent="0.2">
      <c r="E84" s="1"/>
    </row>
    <row r="85" spans="1:5" x14ac:dyDescent="0.2">
      <c r="E85" s="1"/>
    </row>
    <row r="86" spans="1:5" x14ac:dyDescent="0.2">
      <c r="E86" s="1"/>
    </row>
    <row r="87" spans="1:5" x14ac:dyDescent="0.2">
      <c r="E87" s="1"/>
    </row>
    <row r="88" spans="1:5" x14ac:dyDescent="0.2">
      <c r="E88" s="1"/>
    </row>
    <row r="89" spans="1:5" x14ac:dyDescent="0.2">
      <c r="E89" s="1"/>
    </row>
    <row r="90" spans="1:5" x14ac:dyDescent="0.2">
      <c r="E90" s="1"/>
    </row>
    <row r="91" spans="1:5" x14ac:dyDescent="0.2">
      <c r="E91" s="1"/>
    </row>
    <row r="92" spans="1:5" x14ac:dyDescent="0.2">
      <c r="E92" s="1"/>
    </row>
    <row r="93" spans="1:5" x14ac:dyDescent="0.2">
      <c r="E93" s="1"/>
    </row>
    <row r="94" spans="1:5" x14ac:dyDescent="0.2">
      <c r="E94" s="1"/>
    </row>
    <row r="95" spans="1:5" x14ac:dyDescent="0.2">
      <c r="E95" s="1"/>
    </row>
    <row r="96" spans="1:5" x14ac:dyDescent="0.2">
      <c r="E96" s="1"/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104"/>
  <sheetViews>
    <sheetView topLeftCell="G1" zoomScaleNormal="100" workbookViewId="0">
      <selection activeCell="M1" sqref="M1:O1"/>
    </sheetView>
  </sheetViews>
  <sheetFormatPr baseColWidth="10" defaultRowHeight="12" x14ac:dyDescent="0.2"/>
  <cols>
    <col min="1" max="1" width="10.7109375" style="2" customWidth="1"/>
    <col min="2" max="2" width="24.140625" style="2" customWidth="1"/>
    <col min="3" max="3" width="12.28515625" style="2" bestFit="1" customWidth="1"/>
    <col min="4" max="4" width="10.140625" style="2" bestFit="1" customWidth="1"/>
    <col min="5" max="16384" width="11.42578125" style="2"/>
  </cols>
  <sheetData>
    <row r="1" spans="1:16" ht="14.25" customHeight="1" x14ac:dyDescent="0.2">
      <c r="A1" s="1"/>
      <c r="B1" s="3" t="s">
        <v>0</v>
      </c>
      <c r="C1" s="3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35" t="s">
        <v>494</v>
      </c>
    </row>
    <row r="2" spans="1:16" ht="24" x14ac:dyDescent="0.2">
      <c r="A2" s="4">
        <v>43283</v>
      </c>
      <c r="B2" s="5" t="s">
        <v>490</v>
      </c>
      <c r="C2" s="6">
        <v>805</v>
      </c>
      <c r="D2" s="12">
        <v>43350</v>
      </c>
      <c r="E2" s="27" t="s">
        <v>495</v>
      </c>
      <c r="F2" s="6">
        <v>21271.677</v>
      </c>
      <c r="G2" s="16">
        <v>43350</v>
      </c>
      <c r="H2" s="13" t="s">
        <v>496</v>
      </c>
      <c r="I2" s="6">
        <v>9878.74</v>
      </c>
      <c r="J2" s="16">
        <v>43350</v>
      </c>
      <c r="K2" s="13" t="s">
        <v>497</v>
      </c>
      <c r="L2" s="6">
        <v>11291.34</v>
      </c>
      <c r="M2" s="20" t="s">
        <v>341</v>
      </c>
      <c r="N2" s="21" t="s">
        <v>4</v>
      </c>
      <c r="O2" s="22">
        <v>11904.55</v>
      </c>
      <c r="P2" s="23" t="s">
        <v>5</v>
      </c>
    </row>
    <row r="3" spans="1:16" x14ac:dyDescent="0.2">
      <c r="A3" s="4">
        <v>43286</v>
      </c>
      <c r="B3" s="8" t="s">
        <v>498</v>
      </c>
      <c r="C3" s="9">
        <v>4000</v>
      </c>
      <c r="D3" s="12">
        <v>43350</v>
      </c>
      <c r="E3" s="11" t="s">
        <v>499</v>
      </c>
      <c r="F3" s="9">
        <v>528.71</v>
      </c>
      <c r="G3" s="7" t="s">
        <v>500</v>
      </c>
      <c r="H3" s="8" t="s">
        <v>501</v>
      </c>
      <c r="I3" s="9">
        <v>10179</v>
      </c>
      <c r="J3" s="7" t="s">
        <v>500</v>
      </c>
      <c r="K3" s="11" t="s">
        <v>502</v>
      </c>
      <c r="L3" s="6">
        <v>10986</v>
      </c>
      <c r="M3" s="20">
        <v>43227</v>
      </c>
      <c r="N3" s="21" t="s">
        <v>4</v>
      </c>
      <c r="O3" s="22">
        <v>9900</v>
      </c>
      <c r="P3" s="23" t="s">
        <v>342</v>
      </c>
    </row>
    <row r="4" spans="1:16" x14ac:dyDescent="0.2">
      <c r="A4" s="44">
        <v>43287</v>
      </c>
      <c r="B4" s="45" t="s">
        <v>503</v>
      </c>
      <c r="C4" s="46">
        <v>42</v>
      </c>
      <c r="D4" s="12" t="s">
        <v>500</v>
      </c>
      <c r="E4" s="13" t="s">
        <v>504</v>
      </c>
      <c r="F4" s="6">
        <v>19505</v>
      </c>
      <c r="G4" s="7" t="s">
        <v>505</v>
      </c>
      <c r="H4" s="11" t="s">
        <v>506</v>
      </c>
      <c r="I4" s="6">
        <v>9840.31</v>
      </c>
      <c r="J4" s="37" t="s">
        <v>505</v>
      </c>
      <c r="K4" s="11" t="s">
        <v>507</v>
      </c>
      <c r="L4" s="6">
        <v>9800.18</v>
      </c>
      <c r="M4" s="20">
        <v>43138</v>
      </c>
      <c r="N4" s="24" t="s">
        <v>8</v>
      </c>
      <c r="O4" s="22">
        <v>3000</v>
      </c>
      <c r="P4" s="23" t="s">
        <v>344</v>
      </c>
    </row>
    <row r="5" spans="1:16" x14ac:dyDescent="0.2">
      <c r="A5" s="44">
        <v>43287</v>
      </c>
      <c r="B5" s="47" t="s">
        <v>503</v>
      </c>
      <c r="C5" s="31">
        <v>21</v>
      </c>
      <c r="D5" s="12" t="s">
        <v>500</v>
      </c>
      <c r="E5" s="8" t="s">
        <v>508</v>
      </c>
      <c r="F5" s="9">
        <v>245</v>
      </c>
      <c r="G5" s="7" t="s">
        <v>376</v>
      </c>
      <c r="H5" s="11" t="s">
        <v>509</v>
      </c>
      <c r="I5" s="9">
        <v>10274.15</v>
      </c>
      <c r="J5" s="37" t="s">
        <v>376</v>
      </c>
      <c r="K5" s="11" t="s">
        <v>510</v>
      </c>
      <c r="L5" s="6">
        <v>10100.18</v>
      </c>
      <c r="M5" s="20">
        <v>43138</v>
      </c>
      <c r="N5" s="24" t="s">
        <v>343</v>
      </c>
      <c r="O5" s="22">
        <v>159871.20000000001</v>
      </c>
      <c r="P5" s="23" t="s">
        <v>345</v>
      </c>
    </row>
    <row r="6" spans="1:16" x14ac:dyDescent="0.2">
      <c r="A6" s="44">
        <v>43287</v>
      </c>
      <c r="B6" s="47" t="s">
        <v>511</v>
      </c>
      <c r="C6" s="31">
        <v>573.23</v>
      </c>
      <c r="D6" s="7" t="s">
        <v>505</v>
      </c>
      <c r="E6" s="8" t="s">
        <v>512</v>
      </c>
      <c r="F6" s="9">
        <v>22908.456999999999</v>
      </c>
      <c r="G6" s="1"/>
      <c r="H6" s="14"/>
      <c r="I6" s="15"/>
      <c r="J6" s="1"/>
      <c r="K6" s="14"/>
      <c r="L6" s="15"/>
      <c r="M6" s="20">
        <v>43197</v>
      </c>
      <c r="N6" s="24" t="s">
        <v>7</v>
      </c>
      <c r="O6" s="22">
        <v>7899</v>
      </c>
      <c r="P6" s="23" t="s">
        <v>346</v>
      </c>
    </row>
    <row r="7" spans="1:16" x14ac:dyDescent="0.2">
      <c r="A7" s="7">
        <v>43290</v>
      </c>
      <c r="B7" s="11" t="s">
        <v>513</v>
      </c>
      <c r="C7" s="9">
        <v>17673.34</v>
      </c>
      <c r="D7" s="7" t="s">
        <v>373</v>
      </c>
      <c r="E7" s="11" t="s">
        <v>514</v>
      </c>
      <c r="F7" s="6">
        <v>844</v>
      </c>
      <c r="M7" s="20">
        <v>43197</v>
      </c>
      <c r="N7" s="21" t="s">
        <v>61</v>
      </c>
      <c r="O7" s="22">
        <v>3700.4</v>
      </c>
      <c r="P7" s="23" t="s">
        <v>347</v>
      </c>
    </row>
    <row r="8" spans="1:16" ht="12.75" x14ac:dyDescent="0.2">
      <c r="A8" s="7">
        <v>43290</v>
      </c>
      <c r="B8" s="42" t="s">
        <v>515</v>
      </c>
      <c r="C8" s="43">
        <v>1382</v>
      </c>
      <c r="D8" s="7" t="s">
        <v>376</v>
      </c>
      <c r="E8" s="8" t="s">
        <v>516</v>
      </c>
      <c r="F8" s="9">
        <v>21708.16</v>
      </c>
      <c r="M8" s="20">
        <v>43197</v>
      </c>
      <c r="N8" s="24" t="s">
        <v>20</v>
      </c>
      <c r="O8" s="22">
        <v>510</v>
      </c>
      <c r="P8" s="23" t="s">
        <v>348</v>
      </c>
    </row>
    <row r="9" spans="1:16" ht="12.75" x14ac:dyDescent="0.2">
      <c r="A9" s="7">
        <v>43290</v>
      </c>
      <c r="B9" s="42" t="s">
        <v>517</v>
      </c>
      <c r="C9" s="43">
        <v>1000</v>
      </c>
      <c r="D9" s="7" t="s">
        <v>376</v>
      </c>
      <c r="E9" s="11" t="s">
        <v>518</v>
      </c>
      <c r="F9" s="6">
        <v>800</v>
      </c>
      <c r="M9" s="20">
        <v>43197</v>
      </c>
      <c r="N9" s="24" t="s">
        <v>10</v>
      </c>
      <c r="O9" s="22">
        <v>2204</v>
      </c>
      <c r="P9" s="23" t="s">
        <v>349</v>
      </c>
    </row>
    <row r="10" spans="1:16" x14ac:dyDescent="0.2">
      <c r="A10" s="7">
        <v>43290</v>
      </c>
      <c r="B10" s="8" t="s">
        <v>519</v>
      </c>
      <c r="C10" s="9">
        <v>200</v>
      </c>
      <c r="D10" s="1"/>
      <c r="E10" s="14"/>
      <c r="F10" s="15"/>
      <c r="M10" s="20">
        <v>43197</v>
      </c>
      <c r="N10" s="24" t="s">
        <v>121</v>
      </c>
      <c r="O10" s="22">
        <v>6032</v>
      </c>
      <c r="P10" s="23" t="s">
        <v>350</v>
      </c>
    </row>
    <row r="11" spans="1:16" x14ac:dyDescent="0.2">
      <c r="A11" s="7">
        <v>43290</v>
      </c>
      <c r="B11" s="8" t="s">
        <v>520</v>
      </c>
      <c r="C11" s="9">
        <v>360</v>
      </c>
      <c r="M11" s="20">
        <v>43197</v>
      </c>
      <c r="N11" s="23" t="s">
        <v>9</v>
      </c>
      <c r="O11" s="22">
        <v>658</v>
      </c>
      <c r="P11" s="23" t="s">
        <v>351</v>
      </c>
    </row>
    <row r="12" spans="1:16" x14ac:dyDescent="0.2">
      <c r="A12" s="7">
        <v>43294</v>
      </c>
      <c r="B12" s="8" t="s">
        <v>521</v>
      </c>
      <c r="C12" s="9">
        <v>250</v>
      </c>
      <c r="M12" s="20">
        <v>43258</v>
      </c>
      <c r="N12" s="21" t="s">
        <v>13</v>
      </c>
      <c r="O12" s="22">
        <v>23200</v>
      </c>
      <c r="P12" s="23" t="s">
        <v>352</v>
      </c>
    </row>
    <row r="13" spans="1:16" x14ac:dyDescent="0.2">
      <c r="A13" s="7">
        <v>43294</v>
      </c>
      <c r="B13" s="8" t="s">
        <v>522</v>
      </c>
      <c r="C13" s="9">
        <v>150</v>
      </c>
      <c r="M13" s="20">
        <v>43227</v>
      </c>
      <c r="N13" s="21" t="s">
        <v>98</v>
      </c>
      <c r="O13" s="22">
        <v>930</v>
      </c>
      <c r="P13" s="23" t="s">
        <v>353</v>
      </c>
    </row>
    <row r="14" spans="1:16" x14ac:dyDescent="0.2">
      <c r="A14" s="7">
        <v>43294</v>
      </c>
      <c r="B14" s="8" t="s">
        <v>523</v>
      </c>
      <c r="C14" s="9">
        <v>143</v>
      </c>
      <c r="M14" s="20">
        <v>43227</v>
      </c>
      <c r="N14" s="23" t="s">
        <v>163</v>
      </c>
      <c r="O14" s="22">
        <v>75.400000000000006</v>
      </c>
      <c r="P14" s="23" t="s">
        <v>12</v>
      </c>
    </row>
    <row r="15" spans="1:16" x14ac:dyDescent="0.2">
      <c r="A15" s="7">
        <v>43294</v>
      </c>
      <c r="B15" s="8" t="s">
        <v>524</v>
      </c>
      <c r="C15" s="9">
        <v>4104</v>
      </c>
      <c r="M15" s="20">
        <v>43411</v>
      </c>
      <c r="N15" s="23" t="s">
        <v>291</v>
      </c>
      <c r="O15" s="22">
        <v>1740</v>
      </c>
      <c r="P15" s="23" t="s">
        <v>354</v>
      </c>
    </row>
    <row r="16" spans="1:16" x14ac:dyDescent="0.2">
      <c r="A16" s="7">
        <v>43297</v>
      </c>
      <c r="B16" s="8" t="s">
        <v>525</v>
      </c>
      <c r="C16" s="9">
        <v>23872</v>
      </c>
      <c r="M16" s="20">
        <v>43411</v>
      </c>
      <c r="N16" s="23" t="s">
        <v>61</v>
      </c>
      <c r="O16" s="22">
        <v>3700.4</v>
      </c>
      <c r="P16" s="23" t="s">
        <v>355</v>
      </c>
    </row>
    <row r="17" spans="1:16" x14ac:dyDescent="0.2">
      <c r="A17" s="7">
        <v>43297</v>
      </c>
      <c r="B17" s="8" t="s">
        <v>526</v>
      </c>
      <c r="C17" s="9">
        <v>1382</v>
      </c>
      <c r="M17" s="20">
        <v>43380</v>
      </c>
      <c r="N17" s="23" t="s">
        <v>8</v>
      </c>
      <c r="O17" s="22">
        <v>3000</v>
      </c>
      <c r="P17" s="23" t="s">
        <v>96</v>
      </c>
    </row>
    <row r="18" spans="1:16" x14ac:dyDescent="0.2">
      <c r="A18" s="7">
        <v>43297</v>
      </c>
      <c r="B18" s="8" t="s">
        <v>527</v>
      </c>
      <c r="C18" s="9">
        <v>1000</v>
      </c>
      <c r="M18" s="20">
        <v>43411</v>
      </c>
      <c r="N18" s="23" t="s">
        <v>17</v>
      </c>
      <c r="O18" s="22">
        <v>29593.32</v>
      </c>
      <c r="P18" s="23" t="s">
        <v>356</v>
      </c>
    </row>
    <row r="19" spans="1:16" x14ac:dyDescent="0.2">
      <c r="A19" s="7">
        <v>43301</v>
      </c>
      <c r="B19" s="8" t="s">
        <v>528</v>
      </c>
      <c r="C19" s="9">
        <v>1740</v>
      </c>
      <c r="M19" s="20">
        <v>43411</v>
      </c>
      <c r="N19" s="23" t="s">
        <v>15</v>
      </c>
      <c r="O19" s="22">
        <v>1010</v>
      </c>
      <c r="P19" s="23" t="s">
        <v>357</v>
      </c>
    </row>
    <row r="20" spans="1:16" x14ac:dyDescent="0.2">
      <c r="A20" s="29">
        <v>43301</v>
      </c>
      <c r="B20" s="30" t="s">
        <v>529</v>
      </c>
      <c r="C20" s="31">
        <v>104</v>
      </c>
      <c r="M20" s="20">
        <v>43411</v>
      </c>
      <c r="N20" s="23" t="s">
        <v>122</v>
      </c>
      <c r="O20" s="22">
        <v>458.52</v>
      </c>
      <c r="P20" s="23" t="s">
        <v>358</v>
      </c>
    </row>
    <row r="21" spans="1:16" x14ac:dyDescent="0.2">
      <c r="A21" s="7">
        <v>43304</v>
      </c>
      <c r="B21" s="8" t="s">
        <v>530</v>
      </c>
      <c r="C21" s="9">
        <v>14642.775</v>
      </c>
      <c r="D21" s="36"/>
      <c r="M21" s="20">
        <v>43411</v>
      </c>
      <c r="N21" s="23" t="s">
        <v>9</v>
      </c>
      <c r="O21" s="22">
        <v>2219</v>
      </c>
      <c r="P21" s="23" t="s">
        <v>359</v>
      </c>
    </row>
    <row r="22" spans="1:16" x14ac:dyDescent="0.2">
      <c r="A22" s="7">
        <v>43304</v>
      </c>
      <c r="B22" s="8" t="s">
        <v>531</v>
      </c>
      <c r="C22" s="9">
        <v>1382</v>
      </c>
      <c r="D22" s="36"/>
      <c r="M22" s="20">
        <v>43411</v>
      </c>
      <c r="N22" s="23" t="s">
        <v>22</v>
      </c>
      <c r="O22" s="22">
        <v>3132</v>
      </c>
      <c r="P22" s="23" t="s">
        <v>360</v>
      </c>
    </row>
    <row r="23" spans="1:16" x14ac:dyDescent="0.2">
      <c r="A23" s="7">
        <v>43304</v>
      </c>
      <c r="B23" s="8" t="s">
        <v>532</v>
      </c>
      <c r="C23" s="9">
        <v>1000</v>
      </c>
      <c r="D23" s="36"/>
      <c r="M23" s="20" t="s">
        <v>361</v>
      </c>
      <c r="N23" s="23" t="s">
        <v>61</v>
      </c>
      <c r="O23" s="22">
        <v>3700.4</v>
      </c>
      <c r="P23" s="23" t="s">
        <v>364</v>
      </c>
    </row>
    <row r="24" spans="1:16" x14ac:dyDescent="0.2">
      <c r="A24" s="7">
        <v>43308</v>
      </c>
      <c r="B24" s="8" t="s">
        <v>533</v>
      </c>
      <c r="C24" s="9">
        <v>24000</v>
      </c>
      <c r="D24" s="36"/>
      <c r="M24" s="20" t="s">
        <v>362</v>
      </c>
      <c r="N24" s="23" t="s">
        <v>14</v>
      </c>
      <c r="O24" s="22">
        <v>52450.09</v>
      </c>
      <c r="P24" s="23" t="s">
        <v>320</v>
      </c>
    </row>
    <row r="25" spans="1:16" x14ac:dyDescent="0.2">
      <c r="A25" s="7">
        <v>43308</v>
      </c>
      <c r="B25" s="8" t="s">
        <v>534</v>
      </c>
      <c r="C25" s="9">
        <v>5</v>
      </c>
      <c r="D25" s="36"/>
      <c r="M25" s="20" t="s">
        <v>361</v>
      </c>
      <c r="N25" s="23" t="s">
        <v>20</v>
      </c>
      <c r="O25" s="22">
        <v>510</v>
      </c>
      <c r="P25" s="23" t="s">
        <v>365</v>
      </c>
    </row>
    <row r="26" spans="1:16" x14ac:dyDescent="0.2">
      <c r="A26" s="7">
        <v>43308</v>
      </c>
      <c r="B26" s="11" t="s">
        <v>535</v>
      </c>
      <c r="C26" s="6">
        <v>1170</v>
      </c>
      <c r="M26" s="20" t="s">
        <v>361</v>
      </c>
      <c r="N26" s="23" t="s">
        <v>363</v>
      </c>
      <c r="O26" s="22">
        <v>2231.84</v>
      </c>
      <c r="P26" s="23" t="s">
        <v>366</v>
      </c>
    </row>
    <row r="27" spans="1:16" x14ac:dyDescent="0.2">
      <c r="A27" s="7">
        <v>43308</v>
      </c>
      <c r="B27" s="11" t="s">
        <v>536</v>
      </c>
      <c r="C27" s="6">
        <v>770</v>
      </c>
      <c r="M27" s="20" t="s">
        <v>362</v>
      </c>
      <c r="N27" s="23" t="s">
        <v>8</v>
      </c>
      <c r="O27" s="22">
        <v>3000</v>
      </c>
      <c r="P27" s="23" t="s">
        <v>96</v>
      </c>
    </row>
    <row r="28" spans="1:16" x14ac:dyDescent="0.2">
      <c r="A28" s="7">
        <v>43308</v>
      </c>
      <c r="B28" s="11" t="s">
        <v>537</v>
      </c>
      <c r="C28" s="6">
        <v>200</v>
      </c>
      <c r="M28" s="20" t="s">
        <v>361</v>
      </c>
      <c r="N28" s="23" t="s">
        <v>274</v>
      </c>
      <c r="O28" s="22">
        <v>31489</v>
      </c>
      <c r="P28" s="23" t="s">
        <v>367</v>
      </c>
    </row>
    <row r="29" spans="1:16" x14ac:dyDescent="0.2">
      <c r="A29" s="7">
        <v>43308</v>
      </c>
      <c r="B29" s="11" t="s">
        <v>538</v>
      </c>
      <c r="C29" s="6">
        <v>700</v>
      </c>
      <c r="M29" s="20" t="s">
        <v>368</v>
      </c>
      <c r="N29" s="23" t="s">
        <v>369</v>
      </c>
      <c r="O29" s="22">
        <v>4332.6000000000004</v>
      </c>
      <c r="P29" s="23" t="s">
        <v>371</v>
      </c>
    </row>
    <row r="30" spans="1:16" x14ac:dyDescent="0.2">
      <c r="A30" s="7">
        <v>43311</v>
      </c>
      <c r="B30" s="11" t="s">
        <v>539</v>
      </c>
      <c r="C30" s="6">
        <v>19160.044999999998</v>
      </c>
      <c r="M30" s="20" t="s">
        <v>368</v>
      </c>
      <c r="N30" s="23" t="s">
        <v>370</v>
      </c>
      <c r="O30" s="22">
        <v>13732</v>
      </c>
      <c r="P30" s="23" t="s">
        <v>372</v>
      </c>
    </row>
    <row r="31" spans="1:16" x14ac:dyDescent="0.2">
      <c r="A31" s="7">
        <v>43311</v>
      </c>
      <c r="B31" s="11" t="s">
        <v>540</v>
      </c>
      <c r="C31" s="6">
        <v>1382</v>
      </c>
      <c r="M31" s="20" t="s">
        <v>373</v>
      </c>
      <c r="N31" s="23" t="s">
        <v>374</v>
      </c>
      <c r="O31" s="22">
        <v>4607.2</v>
      </c>
      <c r="P31" s="23" t="s">
        <v>379</v>
      </c>
    </row>
    <row r="32" spans="1:16" x14ac:dyDescent="0.2">
      <c r="A32" s="7">
        <v>43311</v>
      </c>
      <c r="B32" s="11" t="s">
        <v>541</v>
      </c>
      <c r="C32" s="6">
        <v>1000</v>
      </c>
      <c r="M32" s="20" t="s">
        <v>375</v>
      </c>
      <c r="N32" s="23" t="s">
        <v>19</v>
      </c>
      <c r="O32" s="22">
        <v>3132</v>
      </c>
      <c r="P32" s="23" t="s">
        <v>380</v>
      </c>
    </row>
    <row r="33" spans="1:16" x14ac:dyDescent="0.2">
      <c r="A33" s="48">
        <v>43315</v>
      </c>
      <c r="B33" s="49" t="s">
        <v>542</v>
      </c>
      <c r="C33" s="50">
        <v>140</v>
      </c>
      <c r="M33" s="20" t="s">
        <v>375</v>
      </c>
      <c r="N33" s="23" t="s">
        <v>61</v>
      </c>
      <c r="O33" s="22">
        <v>3700.4</v>
      </c>
      <c r="P33" s="23" t="s">
        <v>381</v>
      </c>
    </row>
    <row r="34" spans="1:16" x14ac:dyDescent="0.2">
      <c r="A34" s="48">
        <v>43315</v>
      </c>
      <c r="B34" s="49" t="s">
        <v>543</v>
      </c>
      <c r="C34" s="50">
        <v>225</v>
      </c>
      <c r="M34" s="20" t="s">
        <v>375</v>
      </c>
      <c r="N34" s="23" t="s">
        <v>160</v>
      </c>
      <c r="O34" s="22">
        <v>21064</v>
      </c>
      <c r="P34" s="23" t="s">
        <v>382</v>
      </c>
    </row>
    <row r="35" spans="1:16" x14ac:dyDescent="0.2">
      <c r="A35" s="48">
        <v>43315</v>
      </c>
      <c r="B35" s="49" t="s">
        <v>544</v>
      </c>
      <c r="C35" s="50">
        <v>742.4</v>
      </c>
      <c r="M35" s="20" t="s">
        <v>376</v>
      </c>
      <c r="N35" s="23" t="s">
        <v>8</v>
      </c>
      <c r="O35" s="22">
        <v>3000</v>
      </c>
      <c r="P35" s="23" t="s">
        <v>96</v>
      </c>
    </row>
    <row r="36" spans="1:16" x14ac:dyDescent="0.2">
      <c r="A36" s="48">
        <v>43315</v>
      </c>
      <c r="B36" s="49" t="s">
        <v>545</v>
      </c>
      <c r="C36" s="50">
        <v>300</v>
      </c>
      <c r="M36" s="20" t="s">
        <v>377</v>
      </c>
      <c r="N36" s="23" t="s">
        <v>378</v>
      </c>
      <c r="O36" s="22">
        <v>5600</v>
      </c>
      <c r="P36" s="23" t="s">
        <v>383</v>
      </c>
    </row>
    <row r="37" spans="1:16" x14ac:dyDescent="0.2">
      <c r="A37" s="48">
        <v>43315</v>
      </c>
      <c r="B37" s="49" t="s">
        <v>546</v>
      </c>
      <c r="C37" s="50">
        <v>768</v>
      </c>
      <c r="M37" s="20" t="s">
        <v>375</v>
      </c>
      <c r="N37" s="23" t="s">
        <v>9</v>
      </c>
      <c r="O37" s="22">
        <v>478</v>
      </c>
      <c r="P37" s="23" t="s">
        <v>384</v>
      </c>
    </row>
    <row r="38" spans="1:16" x14ac:dyDescent="0.2">
      <c r="A38" s="48">
        <v>43315</v>
      </c>
      <c r="B38" s="49" t="s">
        <v>547</v>
      </c>
      <c r="C38" s="50">
        <v>905</v>
      </c>
      <c r="M38" s="1"/>
      <c r="N38" s="25"/>
      <c r="O38" s="26"/>
    </row>
    <row r="39" spans="1:16" x14ac:dyDescent="0.2">
      <c r="A39" s="48">
        <v>43315</v>
      </c>
      <c r="B39" s="49" t="s">
        <v>548</v>
      </c>
      <c r="C39" s="50">
        <v>1425</v>
      </c>
    </row>
    <row r="40" spans="1:16" x14ac:dyDescent="0.2">
      <c r="A40" s="48">
        <v>43315</v>
      </c>
      <c r="B40" s="49" t="s">
        <v>549</v>
      </c>
      <c r="C40" s="50">
        <v>260</v>
      </c>
    </row>
    <row r="41" spans="1:16" x14ac:dyDescent="0.2">
      <c r="A41" s="48">
        <v>43315</v>
      </c>
      <c r="B41" s="49" t="s">
        <v>550</v>
      </c>
      <c r="C41" s="50">
        <v>870</v>
      </c>
    </row>
    <row r="42" spans="1:16" x14ac:dyDescent="0.2">
      <c r="A42" s="48">
        <v>43315</v>
      </c>
      <c r="B42" s="49" t="s">
        <v>551</v>
      </c>
      <c r="C42" s="50">
        <v>260</v>
      </c>
    </row>
    <row r="43" spans="1:16" x14ac:dyDescent="0.2">
      <c r="A43" s="48">
        <v>43315</v>
      </c>
      <c r="B43" s="49" t="s">
        <v>552</v>
      </c>
      <c r="C43" s="50">
        <v>900</v>
      </c>
    </row>
    <row r="44" spans="1:16" x14ac:dyDescent="0.2">
      <c r="A44" s="48">
        <v>43315</v>
      </c>
      <c r="B44" s="49" t="s">
        <v>553</v>
      </c>
      <c r="C44" s="50">
        <v>960</v>
      </c>
    </row>
    <row r="45" spans="1:16" x14ac:dyDescent="0.2">
      <c r="A45" s="48">
        <v>43315</v>
      </c>
      <c r="B45" s="49" t="s">
        <v>554</v>
      </c>
      <c r="C45" s="50">
        <v>523.84</v>
      </c>
    </row>
    <row r="46" spans="1:16" x14ac:dyDescent="0.2">
      <c r="A46" s="48">
        <v>43315</v>
      </c>
      <c r="B46" s="49" t="s">
        <v>555</v>
      </c>
      <c r="C46" s="50">
        <v>1400</v>
      </c>
    </row>
    <row r="47" spans="1:16" x14ac:dyDescent="0.2">
      <c r="A47" s="48">
        <v>43315</v>
      </c>
      <c r="B47" s="49" t="s">
        <v>556</v>
      </c>
      <c r="C47" s="50">
        <v>435</v>
      </c>
    </row>
    <row r="48" spans="1:16" x14ac:dyDescent="0.2">
      <c r="A48" s="48">
        <v>43315</v>
      </c>
      <c r="B48" s="49" t="s">
        <v>557</v>
      </c>
      <c r="C48" s="50">
        <v>15</v>
      </c>
    </row>
    <row r="49" spans="1:3" x14ac:dyDescent="0.2">
      <c r="A49" s="48">
        <v>43315</v>
      </c>
      <c r="B49" s="49" t="s">
        <v>558</v>
      </c>
      <c r="C49" s="50">
        <v>4250</v>
      </c>
    </row>
    <row r="50" spans="1:3" x14ac:dyDescent="0.2">
      <c r="A50" s="48">
        <v>43315</v>
      </c>
      <c r="B50" s="49" t="s">
        <v>559</v>
      </c>
      <c r="C50" s="50">
        <v>523</v>
      </c>
    </row>
    <row r="51" spans="1:3" x14ac:dyDescent="0.2">
      <c r="A51" s="48">
        <v>43315</v>
      </c>
      <c r="B51" s="49" t="s">
        <v>560</v>
      </c>
      <c r="C51" s="50">
        <v>591</v>
      </c>
    </row>
    <row r="52" spans="1:3" x14ac:dyDescent="0.2">
      <c r="A52" s="48">
        <v>43315</v>
      </c>
      <c r="B52" s="49" t="s">
        <v>561</v>
      </c>
      <c r="C52" s="50">
        <v>573</v>
      </c>
    </row>
    <row r="53" spans="1:3" x14ac:dyDescent="0.2">
      <c r="A53" s="48">
        <v>43315</v>
      </c>
      <c r="B53" s="49" t="s">
        <v>562</v>
      </c>
      <c r="C53" s="50">
        <v>1980</v>
      </c>
    </row>
    <row r="54" spans="1:3" x14ac:dyDescent="0.2">
      <c r="A54" s="48">
        <v>43315</v>
      </c>
      <c r="B54" s="49" t="s">
        <v>563</v>
      </c>
      <c r="C54" s="50">
        <v>1400</v>
      </c>
    </row>
    <row r="55" spans="1:3" x14ac:dyDescent="0.2">
      <c r="A55" s="48">
        <v>43315</v>
      </c>
      <c r="B55" s="49" t="s">
        <v>564</v>
      </c>
      <c r="C55" s="50">
        <v>3820</v>
      </c>
    </row>
    <row r="56" spans="1:3" x14ac:dyDescent="0.2">
      <c r="A56" s="48">
        <v>43315</v>
      </c>
      <c r="B56" s="49" t="s">
        <v>565</v>
      </c>
      <c r="C56" s="50">
        <v>200</v>
      </c>
    </row>
    <row r="57" spans="1:3" x14ac:dyDescent="0.2">
      <c r="A57" s="48">
        <v>43315</v>
      </c>
      <c r="B57" s="49" t="s">
        <v>338</v>
      </c>
      <c r="C57" s="50">
        <v>4400.1000000000004</v>
      </c>
    </row>
    <row r="58" spans="1:3" x14ac:dyDescent="0.2">
      <c r="A58" s="48">
        <v>43315</v>
      </c>
      <c r="B58" s="49" t="s">
        <v>339</v>
      </c>
      <c r="C58" s="50">
        <v>725.76</v>
      </c>
    </row>
    <row r="59" spans="1:3" x14ac:dyDescent="0.2">
      <c r="A59" s="48">
        <v>43315</v>
      </c>
      <c r="B59" s="49" t="s">
        <v>340</v>
      </c>
      <c r="C59" s="50">
        <v>5387</v>
      </c>
    </row>
    <row r="60" spans="1:3" x14ac:dyDescent="0.2">
      <c r="A60" s="48">
        <v>43315</v>
      </c>
      <c r="B60" s="49" t="s">
        <v>566</v>
      </c>
      <c r="C60" s="50">
        <v>1930</v>
      </c>
    </row>
    <row r="61" spans="1:3" x14ac:dyDescent="0.2">
      <c r="A61" s="48">
        <v>43315</v>
      </c>
      <c r="B61" s="49" t="s">
        <v>567</v>
      </c>
      <c r="C61" s="50">
        <v>1920</v>
      </c>
    </row>
    <row r="62" spans="1:3" x14ac:dyDescent="0.2">
      <c r="A62" s="48">
        <v>43315</v>
      </c>
      <c r="B62" s="49" t="s">
        <v>568</v>
      </c>
      <c r="C62" s="50">
        <v>217</v>
      </c>
    </row>
    <row r="63" spans="1:3" x14ac:dyDescent="0.2">
      <c r="A63" s="48">
        <v>43315</v>
      </c>
      <c r="B63" s="49" t="s">
        <v>569</v>
      </c>
      <c r="C63" s="50">
        <v>363</v>
      </c>
    </row>
    <row r="64" spans="1:3" x14ac:dyDescent="0.2">
      <c r="A64" s="1"/>
      <c r="B64" s="14"/>
      <c r="C64" s="15"/>
    </row>
    <row r="75" spans="1:3" x14ac:dyDescent="0.2">
      <c r="A75" s="1"/>
      <c r="B75" s="1"/>
      <c r="C75" s="1"/>
    </row>
    <row r="81" spans="1:5" x14ac:dyDescent="0.2">
      <c r="D81" s="17"/>
      <c r="E81" s="1"/>
    </row>
    <row r="82" spans="1:5" x14ac:dyDescent="0.2">
      <c r="A82" s="1"/>
      <c r="B82" s="1"/>
      <c r="C82" s="1"/>
      <c r="D82" s="17"/>
      <c r="E82" s="1"/>
    </row>
    <row r="83" spans="1:5" x14ac:dyDescent="0.2">
      <c r="D83" s="17"/>
      <c r="E83" s="1"/>
    </row>
    <row r="84" spans="1:5" x14ac:dyDescent="0.2">
      <c r="D84" s="17"/>
      <c r="E84" s="1"/>
    </row>
    <row r="88" spans="1:5" s="34" customFormat="1" x14ac:dyDescent="0.2">
      <c r="D88" s="17"/>
      <c r="E88" s="33"/>
    </row>
    <row r="89" spans="1:5" x14ac:dyDescent="0.2">
      <c r="A89" s="33"/>
      <c r="B89" s="33"/>
      <c r="C89" s="33"/>
      <c r="D89" s="17"/>
      <c r="E89" s="1"/>
    </row>
    <row r="90" spans="1:5" x14ac:dyDescent="0.2">
      <c r="A90" s="33"/>
      <c r="B90" s="33"/>
      <c r="C90" s="33"/>
      <c r="D90" s="17"/>
      <c r="E90" s="1"/>
    </row>
    <row r="91" spans="1:5" x14ac:dyDescent="0.2">
      <c r="A91" s="1"/>
      <c r="B91" s="1"/>
      <c r="C91" s="1"/>
      <c r="D91" s="17"/>
      <c r="E91" s="1"/>
    </row>
    <row r="92" spans="1:5" x14ac:dyDescent="0.2">
      <c r="E92" s="1"/>
    </row>
    <row r="93" spans="1:5" x14ac:dyDescent="0.2">
      <c r="E93" s="1"/>
    </row>
    <row r="94" spans="1:5" x14ac:dyDescent="0.2">
      <c r="E94" s="1"/>
    </row>
    <row r="95" spans="1:5" x14ac:dyDescent="0.2">
      <c r="E95" s="1"/>
    </row>
    <row r="96" spans="1:5" x14ac:dyDescent="0.2">
      <c r="E96" s="1"/>
    </row>
    <row r="97" spans="5:5" x14ac:dyDescent="0.2">
      <c r="E97" s="1"/>
    </row>
    <row r="98" spans="5:5" x14ac:dyDescent="0.2">
      <c r="E98" s="1"/>
    </row>
    <row r="99" spans="5:5" x14ac:dyDescent="0.2">
      <c r="E99" s="1"/>
    </row>
    <row r="100" spans="5:5" x14ac:dyDescent="0.2">
      <c r="E100" s="1"/>
    </row>
    <row r="101" spans="5:5" x14ac:dyDescent="0.2">
      <c r="E101" s="1"/>
    </row>
    <row r="102" spans="5:5" x14ac:dyDescent="0.2">
      <c r="E102" s="1"/>
    </row>
    <row r="103" spans="5:5" x14ac:dyDescent="0.2">
      <c r="E103" s="1"/>
    </row>
    <row r="104" spans="5:5" x14ac:dyDescent="0.2">
      <c r="E104" s="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P90"/>
  <sheetViews>
    <sheetView topLeftCell="C1" zoomScale="70" zoomScaleNormal="70" workbookViewId="0">
      <selection activeCell="M1" sqref="M1:P1"/>
    </sheetView>
  </sheetViews>
  <sheetFormatPr baseColWidth="10" defaultRowHeight="12" x14ac:dyDescent="0.2"/>
  <cols>
    <col min="1" max="1" width="10.7109375" style="2" customWidth="1"/>
    <col min="2" max="2" width="21" style="2" customWidth="1"/>
    <col min="3" max="3" width="12.5703125" style="2" bestFit="1" customWidth="1"/>
    <col min="4" max="4" width="9.42578125" style="2" customWidth="1"/>
    <col min="5" max="16384" width="11.42578125" style="2"/>
  </cols>
  <sheetData>
    <row r="1" spans="1:16" x14ac:dyDescent="0.2">
      <c r="A1" s="1"/>
      <c r="B1" s="3" t="s">
        <v>0</v>
      </c>
      <c r="C1" s="55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35" t="s">
        <v>494</v>
      </c>
    </row>
    <row r="2" spans="1:16" ht="60" x14ac:dyDescent="0.2">
      <c r="A2" s="4">
        <v>43108</v>
      </c>
      <c r="B2" s="5" t="s">
        <v>812</v>
      </c>
      <c r="C2" s="46">
        <v>9035</v>
      </c>
      <c r="D2" s="12">
        <v>43259</v>
      </c>
      <c r="E2" s="27" t="s">
        <v>813</v>
      </c>
      <c r="F2" s="6">
        <v>18121.560000000001</v>
      </c>
      <c r="G2" s="12">
        <v>43259</v>
      </c>
      <c r="H2" s="13" t="s">
        <v>814</v>
      </c>
      <c r="I2" s="6">
        <v>10907.32</v>
      </c>
      <c r="J2" s="16">
        <v>43259</v>
      </c>
      <c r="K2" s="13" t="s">
        <v>815</v>
      </c>
      <c r="L2" s="6">
        <v>10621.62</v>
      </c>
      <c r="M2" s="20" t="s">
        <v>385</v>
      </c>
      <c r="N2" s="21" t="s">
        <v>4</v>
      </c>
      <c r="O2" s="22">
        <v>10230</v>
      </c>
      <c r="P2" s="23" t="s">
        <v>386</v>
      </c>
    </row>
    <row r="3" spans="1:16" x14ac:dyDescent="0.2">
      <c r="A3" s="4">
        <v>43139</v>
      </c>
      <c r="B3" s="8" t="s">
        <v>816</v>
      </c>
      <c r="C3" s="9">
        <v>295</v>
      </c>
      <c r="D3" s="12" t="s">
        <v>817</v>
      </c>
      <c r="E3" s="11" t="s">
        <v>818</v>
      </c>
      <c r="F3" s="9">
        <v>22572.737000000001</v>
      </c>
      <c r="G3" s="7" t="s">
        <v>817</v>
      </c>
      <c r="H3" s="8" t="s">
        <v>819</v>
      </c>
      <c r="I3" s="9">
        <v>10643.5</v>
      </c>
      <c r="J3" s="7" t="s">
        <v>817</v>
      </c>
      <c r="K3" s="11" t="s">
        <v>820</v>
      </c>
      <c r="L3" s="6">
        <v>10250.18</v>
      </c>
      <c r="M3" s="20">
        <v>43343</v>
      </c>
      <c r="N3" s="21" t="s">
        <v>4</v>
      </c>
      <c r="O3" s="22">
        <v>10149.469999999999</v>
      </c>
      <c r="P3" s="23" t="s">
        <v>5</v>
      </c>
    </row>
    <row r="4" spans="1:16" x14ac:dyDescent="0.2">
      <c r="A4" s="7">
        <v>43167</v>
      </c>
      <c r="B4" s="8" t="s">
        <v>821</v>
      </c>
      <c r="C4" s="31">
        <v>2460</v>
      </c>
      <c r="D4" s="12" t="s">
        <v>817</v>
      </c>
      <c r="E4" s="13" t="s">
        <v>822</v>
      </c>
      <c r="F4" s="6">
        <v>1150</v>
      </c>
      <c r="G4" s="7" t="s">
        <v>415</v>
      </c>
      <c r="H4" s="11" t="s">
        <v>823</v>
      </c>
      <c r="I4" s="6">
        <v>675</v>
      </c>
      <c r="J4" s="37" t="s">
        <v>824</v>
      </c>
      <c r="K4" s="11" t="s">
        <v>825</v>
      </c>
      <c r="L4" s="6">
        <v>10100.18</v>
      </c>
      <c r="M4" s="20" t="s">
        <v>387</v>
      </c>
      <c r="N4" s="24" t="s">
        <v>23</v>
      </c>
      <c r="O4" s="22">
        <v>2320</v>
      </c>
      <c r="P4" s="23" t="s">
        <v>389</v>
      </c>
    </row>
    <row r="5" spans="1:16" x14ac:dyDescent="0.2">
      <c r="A5" s="7">
        <v>43167</v>
      </c>
      <c r="B5" s="8" t="s">
        <v>826</v>
      </c>
      <c r="C5" s="31">
        <v>184</v>
      </c>
      <c r="D5" s="12" t="s">
        <v>824</v>
      </c>
      <c r="E5" s="8" t="s">
        <v>827</v>
      </c>
      <c r="F5" s="9">
        <v>22222.720000000001</v>
      </c>
      <c r="G5" s="7" t="s">
        <v>824</v>
      </c>
      <c r="H5" s="11" t="s">
        <v>828</v>
      </c>
      <c r="I5" s="9">
        <v>11467.72</v>
      </c>
      <c r="J5" s="37" t="s">
        <v>829</v>
      </c>
      <c r="K5" s="11" t="s">
        <v>830</v>
      </c>
      <c r="L5" s="6">
        <v>9914.4599999999991</v>
      </c>
      <c r="M5" s="20" t="s">
        <v>387</v>
      </c>
      <c r="N5" s="24" t="s">
        <v>388</v>
      </c>
      <c r="O5" s="22">
        <v>14756</v>
      </c>
      <c r="P5" s="23" t="s">
        <v>390</v>
      </c>
    </row>
    <row r="6" spans="1:16" x14ac:dyDescent="0.2">
      <c r="A6" s="7">
        <v>43167</v>
      </c>
      <c r="B6" s="8" t="s">
        <v>831</v>
      </c>
      <c r="C6" s="31">
        <v>592</v>
      </c>
      <c r="D6" s="7" t="s">
        <v>829</v>
      </c>
      <c r="E6" s="8" t="s">
        <v>832</v>
      </c>
      <c r="F6" s="9">
        <v>21787.027999999998</v>
      </c>
      <c r="G6" s="7" t="s">
        <v>829</v>
      </c>
      <c r="H6" s="11" t="s">
        <v>833</v>
      </c>
      <c r="I6" s="9">
        <v>12164.2</v>
      </c>
      <c r="J6" s="37" t="s">
        <v>834</v>
      </c>
      <c r="K6" s="11" t="s">
        <v>835</v>
      </c>
      <c r="L6" s="6">
        <v>37</v>
      </c>
      <c r="M6" s="20" t="s">
        <v>391</v>
      </c>
      <c r="N6" s="24" t="s">
        <v>7</v>
      </c>
      <c r="O6" s="22">
        <v>9526</v>
      </c>
      <c r="P6" s="23" t="s">
        <v>394</v>
      </c>
    </row>
    <row r="7" spans="1:16" x14ac:dyDescent="0.2">
      <c r="A7" s="7">
        <v>43167</v>
      </c>
      <c r="B7" s="8" t="s">
        <v>836</v>
      </c>
      <c r="C7" s="31">
        <v>4000</v>
      </c>
      <c r="D7" s="7">
        <v>43259</v>
      </c>
      <c r="E7" s="11" t="s">
        <v>837</v>
      </c>
      <c r="F7" s="6">
        <v>142</v>
      </c>
      <c r="G7" s="37" t="s">
        <v>829</v>
      </c>
      <c r="H7" s="13" t="s">
        <v>838</v>
      </c>
      <c r="I7" s="6">
        <v>150</v>
      </c>
      <c r="J7" s="28" t="s">
        <v>439</v>
      </c>
      <c r="K7" s="13" t="s">
        <v>839</v>
      </c>
      <c r="L7" s="46">
        <v>114</v>
      </c>
      <c r="M7" s="20" t="s">
        <v>385</v>
      </c>
      <c r="N7" s="21" t="s">
        <v>13</v>
      </c>
      <c r="O7" s="22">
        <v>23200</v>
      </c>
      <c r="P7" s="23" t="s">
        <v>395</v>
      </c>
    </row>
    <row r="8" spans="1:16" x14ac:dyDescent="0.2">
      <c r="A8" s="7">
        <v>43167</v>
      </c>
      <c r="B8" s="8" t="s">
        <v>840</v>
      </c>
      <c r="C8" s="31">
        <v>1485</v>
      </c>
      <c r="D8" s="7" t="s">
        <v>817</v>
      </c>
      <c r="E8" s="8" t="s">
        <v>841</v>
      </c>
      <c r="F8" s="9">
        <v>171</v>
      </c>
      <c r="G8" s="51" t="s">
        <v>842</v>
      </c>
      <c r="H8" s="52" t="s">
        <v>443</v>
      </c>
      <c r="I8" s="53">
        <v>9817.7999999999993</v>
      </c>
      <c r="J8" s="1"/>
      <c r="K8" s="14"/>
      <c r="L8" s="15"/>
      <c r="M8" s="20" t="s">
        <v>391</v>
      </c>
      <c r="N8" s="24" t="s">
        <v>61</v>
      </c>
      <c r="O8" s="22">
        <v>6167.35</v>
      </c>
      <c r="P8" s="23" t="s">
        <v>396</v>
      </c>
    </row>
    <row r="9" spans="1:16" x14ac:dyDescent="0.2">
      <c r="A9" s="7">
        <v>43167</v>
      </c>
      <c r="B9" s="8" t="s">
        <v>843</v>
      </c>
      <c r="C9" s="31">
        <v>1920</v>
      </c>
      <c r="D9" s="7" t="s">
        <v>824</v>
      </c>
      <c r="E9" s="11" t="s">
        <v>844</v>
      </c>
      <c r="F9" s="6">
        <v>142</v>
      </c>
      <c r="G9" s="1"/>
      <c r="H9" s="14"/>
      <c r="I9" s="15"/>
      <c r="M9" s="20" t="s">
        <v>391</v>
      </c>
      <c r="N9" s="24" t="s">
        <v>20</v>
      </c>
      <c r="O9" s="58">
        <v>637.5</v>
      </c>
      <c r="P9" s="23" t="s">
        <v>397</v>
      </c>
    </row>
    <row r="10" spans="1:16" x14ac:dyDescent="0.2">
      <c r="A10" s="7">
        <v>43167</v>
      </c>
      <c r="B10" s="8" t="s">
        <v>845</v>
      </c>
      <c r="C10" s="31">
        <v>600</v>
      </c>
      <c r="D10" s="7" t="s">
        <v>829</v>
      </c>
      <c r="E10" s="11" t="s">
        <v>846</v>
      </c>
      <c r="F10" s="6">
        <v>150</v>
      </c>
      <c r="M10" s="20" t="s">
        <v>391</v>
      </c>
      <c r="N10" s="24" t="s">
        <v>10</v>
      </c>
      <c r="O10" s="22">
        <v>2204</v>
      </c>
      <c r="P10" s="23" t="s">
        <v>398</v>
      </c>
    </row>
    <row r="11" spans="1:16" x14ac:dyDescent="0.2">
      <c r="A11" s="7">
        <v>43259</v>
      </c>
      <c r="B11" s="8" t="s">
        <v>847</v>
      </c>
      <c r="C11" s="9">
        <v>18469.185000000001</v>
      </c>
      <c r="D11" s="7" t="s">
        <v>440</v>
      </c>
      <c r="E11" s="11" t="s">
        <v>848</v>
      </c>
      <c r="F11" s="6">
        <v>214</v>
      </c>
      <c r="M11" s="20" t="s">
        <v>385</v>
      </c>
      <c r="N11" s="23" t="s">
        <v>8</v>
      </c>
      <c r="O11" s="22">
        <v>3000</v>
      </c>
      <c r="P11" s="23" t="s">
        <v>28</v>
      </c>
    </row>
    <row r="12" spans="1:16" x14ac:dyDescent="0.2">
      <c r="A12" s="7">
        <v>43259</v>
      </c>
      <c r="B12" s="8" t="s">
        <v>849</v>
      </c>
      <c r="C12" s="9">
        <v>1382</v>
      </c>
      <c r="D12" s="7" t="s">
        <v>834</v>
      </c>
      <c r="E12" s="11" t="s">
        <v>850</v>
      </c>
      <c r="F12" s="6">
        <v>200</v>
      </c>
      <c r="M12" s="20" t="s">
        <v>391</v>
      </c>
      <c r="N12" s="21" t="s">
        <v>393</v>
      </c>
      <c r="O12" s="22">
        <v>4030</v>
      </c>
      <c r="P12" s="23" t="s">
        <v>399</v>
      </c>
    </row>
    <row r="13" spans="1:16" x14ac:dyDescent="0.2">
      <c r="A13" s="7">
        <v>43259</v>
      </c>
      <c r="B13" s="8" t="s">
        <v>851</v>
      </c>
      <c r="C13" s="9">
        <v>1000</v>
      </c>
      <c r="D13" s="7" t="s">
        <v>433</v>
      </c>
      <c r="E13" s="11" t="s">
        <v>852</v>
      </c>
      <c r="F13" s="6">
        <v>103</v>
      </c>
      <c r="M13" s="20" t="s">
        <v>391</v>
      </c>
      <c r="N13" s="21" t="s">
        <v>98</v>
      </c>
      <c r="O13" s="22">
        <v>930</v>
      </c>
      <c r="P13" s="23" t="s">
        <v>400</v>
      </c>
    </row>
    <row r="14" spans="1:16" x14ac:dyDescent="0.2">
      <c r="A14" s="7">
        <v>43289</v>
      </c>
      <c r="B14" s="8" t="s">
        <v>853</v>
      </c>
      <c r="C14" s="9">
        <v>566.5</v>
      </c>
      <c r="D14" s="51" t="s">
        <v>842</v>
      </c>
      <c r="E14" s="52" t="s">
        <v>443</v>
      </c>
      <c r="F14" s="53">
        <v>11891.7</v>
      </c>
      <c r="M14" s="20" t="s">
        <v>391</v>
      </c>
      <c r="N14" s="23" t="s">
        <v>15</v>
      </c>
      <c r="O14" s="22">
        <v>1252</v>
      </c>
      <c r="P14" s="23" t="s">
        <v>401</v>
      </c>
    </row>
    <row r="15" spans="1:16" x14ac:dyDescent="0.2">
      <c r="A15" s="7">
        <v>43351</v>
      </c>
      <c r="B15" s="8" t="s">
        <v>854</v>
      </c>
      <c r="C15" s="9">
        <v>4000</v>
      </c>
      <c r="D15" s="1"/>
      <c r="E15" s="14"/>
      <c r="F15" s="15"/>
      <c r="M15" s="20" t="s">
        <v>392</v>
      </c>
      <c r="N15" s="23" t="s">
        <v>163</v>
      </c>
      <c r="O15" s="22">
        <v>94.52</v>
      </c>
      <c r="P15" s="23" t="s">
        <v>12</v>
      </c>
    </row>
    <row r="16" spans="1:16" x14ac:dyDescent="0.2">
      <c r="A16" s="7">
        <v>43381</v>
      </c>
      <c r="B16" s="8" t="s">
        <v>855</v>
      </c>
      <c r="C16" s="9">
        <v>44.5</v>
      </c>
      <c r="D16" s="36"/>
      <c r="M16" s="20" t="s">
        <v>391</v>
      </c>
      <c r="N16" s="23" t="s">
        <v>9</v>
      </c>
      <c r="O16" s="22">
        <v>658</v>
      </c>
      <c r="P16" s="23" t="s">
        <v>402</v>
      </c>
    </row>
    <row r="17" spans="1:16" x14ac:dyDescent="0.2">
      <c r="A17" s="7">
        <v>43381</v>
      </c>
      <c r="B17" s="8" t="s">
        <v>856</v>
      </c>
      <c r="C17" s="9">
        <v>347</v>
      </c>
      <c r="D17" s="36"/>
      <c r="M17" s="20" t="s">
        <v>391</v>
      </c>
      <c r="N17" s="23" t="s">
        <v>9</v>
      </c>
      <c r="O17" s="22">
        <v>2218</v>
      </c>
      <c r="P17" s="23" t="s">
        <v>403</v>
      </c>
    </row>
    <row r="18" spans="1:16" x14ac:dyDescent="0.2">
      <c r="A18" s="7" t="s">
        <v>817</v>
      </c>
      <c r="B18" s="8" t="s">
        <v>857</v>
      </c>
      <c r="C18" s="9">
        <v>17744.759999999998</v>
      </c>
      <c r="D18" s="36"/>
      <c r="M18" s="20" t="s">
        <v>404</v>
      </c>
      <c r="N18" s="23" t="s">
        <v>59</v>
      </c>
      <c r="O18" s="22">
        <v>6666</v>
      </c>
      <c r="P18" s="23" t="s">
        <v>407</v>
      </c>
    </row>
    <row r="19" spans="1:16" x14ac:dyDescent="0.2">
      <c r="A19" s="7" t="s">
        <v>817</v>
      </c>
      <c r="B19" s="8" t="s">
        <v>858</v>
      </c>
      <c r="C19" s="9">
        <v>1382</v>
      </c>
      <c r="D19" s="36"/>
      <c r="M19" s="20" t="s">
        <v>404</v>
      </c>
      <c r="N19" s="23" t="s">
        <v>7</v>
      </c>
      <c r="O19" s="22">
        <v>197</v>
      </c>
      <c r="P19" s="23" t="s">
        <v>408</v>
      </c>
    </row>
    <row r="20" spans="1:16" x14ac:dyDescent="0.2">
      <c r="A20" s="7" t="s">
        <v>817</v>
      </c>
      <c r="B20" s="8" t="s">
        <v>859</v>
      </c>
      <c r="C20" s="9">
        <v>1000</v>
      </c>
      <c r="D20" s="36"/>
      <c r="M20" s="20" t="s">
        <v>404</v>
      </c>
      <c r="N20" s="23" t="s">
        <v>61</v>
      </c>
      <c r="O20" s="22">
        <v>3700.4</v>
      </c>
      <c r="P20" s="23" t="s">
        <v>409</v>
      </c>
    </row>
    <row r="21" spans="1:16" x14ac:dyDescent="0.2">
      <c r="A21" s="7" t="s">
        <v>817</v>
      </c>
      <c r="B21" s="8" t="s">
        <v>860</v>
      </c>
      <c r="C21" s="9">
        <v>1855</v>
      </c>
      <c r="D21" s="36"/>
      <c r="M21" s="20" t="s">
        <v>405</v>
      </c>
      <c r="N21" s="23" t="s">
        <v>14</v>
      </c>
      <c r="O21" s="22">
        <v>52450.09</v>
      </c>
      <c r="P21" s="23" t="s">
        <v>410</v>
      </c>
    </row>
    <row r="22" spans="1:16" x14ac:dyDescent="0.2">
      <c r="A22" s="7" t="s">
        <v>415</v>
      </c>
      <c r="B22" s="8" t="s">
        <v>861</v>
      </c>
      <c r="C22" s="9">
        <v>255.26</v>
      </c>
      <c r="D22" s="36"/>
      <c r="M22" s="20" t="s">
        <v>405</v>
      </c>
      <c r="N22" s="23" t="s">
        <v>8</v>
      </c>
      <c r="O22" s="22">
        <v>3000</v>
      </c>
      <c r="P22" s="23" t="s">
        <v>96</v>
      </c>
    </row>
    <row r="23" spans="1:16" x14ac:dyDescent="0.2">
      <c r="A23" s="7" t="s">
        <v>415</v>
      </c>
      <c r="B23" s="11" t="s">
        <v>862</v>
      </c>
      <c r="C23" s="6">
        <v>275.95999999999998</v>
      </c>
      <c r="D23" s="36"/>
      <c r="M23" s="20" t="s">
        <v>404</v>
      </c>
      <c r="N23" s="23" t="s">
        <v>17</v>
      </c>
      <c r="O23" s="56">
        <v>11350.97</v>
      </c>
      <c r="P23" s="23" t="s">
        <v>411</v>
      </c>
    </row>
    <row r="24" spans="1:16" x14ac:dyDescent="0.2">
      <c r="A24" s="7" t="s">
        <v>415</v>
      </c>
      <c r="B24" s="11" t="s">
        <v>863</v>
      </c>
      <c r="C24" s="6">
        <v>299.76</v>
      </c>
      <c r="D24" s="36"/>
      <c r="M24" s="20" t="s">
        <v>404</v>
      </c>
      <c r="N24" s="23" t="s">
        <v>388</v>
      </c>
      <c r="O24" s="22">
        <v>1847.6</v>
      </c>
      <c r="P24" s="23" t="s">
        <v>412</v>
      </c>
    </row>
    <row r="25" spans="1:16" x14ac:dyDescent="0.2">
      <c r="A25" s="7" t="s">
        <v>415</v>
      </c>
      <c r="B25" s="11" t="s">
        <v>864</v>
      </c>
      <c r="C25" s="6">
        <v>687</v>
      </c>
      <c r="D25" s="36"/>
      <c r="M25" s="20" t="s">
        <v>406</v>
      </c>
      <c r="N25" s="23" t="s">
        <v>246</v>
      </c>
      <c r="O25" s="22">
        <v>5185.2</v>
      </c>
      <c r="P25" s="23" t="s">
        <v>413</v>
      </c>
    </row>
    <row r="26" spans="1:16" x14ac:dyDescent="0.2">
      <c r="A26" s="7" t="s">
        <v>824</v>
      </c>
      <c r="B26" s="11" t="s">
        <v>865</v>
      </c>
      <c r="C26" s="6">
        <v>16523.325000000001</v>
      </c>
      <c r="D26" s="36"/>
      <c r="M26" s="20" t="s">
        <v>414</v>
      </c>
      <c r="N26" s="23" t="s">
        <v>291</v>
      </c>
      <c r="O26" s="22">
        <v>1740</v>
      </c>
      <c r="P26" s="23" t="s">
        <v>418</v>
      </c>
    </row>
    <row r="27" spans="1:16" x14ac:dyDescent="0.2">
      <c r="A27" s="7" t="s">
        <v>824</v>
      </c>
      <c r="B27" s="11" t="s">
        <v>866</v>
      </c>
      <c r="C27" s="6">
        <v>1382</v>
      </c>
      <c r="D27" s="36"/>
      <c r="M27" s="20" t="s">
        <v>414</v>
      </c>
      <c r="N27" s="23" t="s">
        <v>7</v>
      </c>
      <c r="O27" s="56">
        <v>20520</v>
      </c>
      <c r="P27" s="23" t="s">
        <v>419</v>
      </c>
    </row>
    <row r="28" spans="1:16" x14ac:dyDescent="0.2">
      <c r="A28" s="7" t="s">
        <v>824</v>
      </c>
      <c r="B28" s="11" t="s">
        <v>867</v>
      </c>
      <c r="C28" s="6">
        <v>1000</v>
      </c>
      <c r="D28" s="36"/>
      <c r="M28" s="20" t="s">
        <v>414</v>
      </c>
      <c r="N28" s="23" t="s">
        <v>61</v>
      </c>
      <c r="O28" s="22">
        <v>3700.4</v>
      </c>
      <c r="P28" s="23" t="s">
        <v>420</v>
      </c>
    </row>
    <row r="29" spans="1:16" x14ac:dyDescent="0.2">
      <c r="A29" s="7" t="s">
        <v>433</v>
      </c>
      <c r="B29" s="11" t="s">
        <v>868</v>
      </c>
      <c r="C29" s="6">
        <v>150</v>
      </c>
      <c r="D29" s="36"/>
      <c r="M29" s="20" t="s">
        <v>415</v>
      </c>
      <c r="N29" s="23" t="s">
        <v>416</v>
      </c>
      <c r="O29" s="22">
        <v>4898.75</v>
      </c>
      <c r="P29" s="23" t="s">
        <v>421</v>
      </c>
    </row>
    <row r="30" spans="1:16" x14ac:dyDescent="0.2">
      <c r="A30" s="7" t="s">
        <v>433</v>
      </c>
      <c r="B30" s="11" t="s">
        <v>869</v>
      </c>
      <c r="C30" s="6">
        <v>350</v>
      </c>
      <c r="D30" s="36"/>
      <c r="M30" s="20" t="s">
        <v>414</v>
      </c>
      <c r="N30" s="23" t="s">
        <v>8</v>
      </c>
      <c r="O30" s="22">
        <v>3000</v>
      </c>
      <c r="P30" s="23" t="s">
        <v>28</v>
      </c>
    </row>
    <row r="31" spans="1:16" x14ac:dyDescent="0.2">
      <c r="A31" s="7" t="s">
        <v>433</v>
      </c>
      <c r="B31" s="11" t="s">
        <v>870</v>
      </c>
      <c r="C31" s="6">
        <v>1161</v>
      </c>
      <c r="D31" s="36"/>
      <c r="M31" s="20" t="s">
        <v>414</v>
      </c>
      <c r="N31" s="23" t="s">
        <v>378</v>
      </c>
      <c r="O31" s="22">
        <v>5600</v>
      </c>
      <c r="P31" s="23" t="s">
        <v>422</v>
      </c>
    </row>
    <row r="32" spans="1:16" x14ac:dyDescent="0.2">
      <c r="A32" s="7" t="s">
        <v>433</v>
      </c>
      <c r="B32" s="11" t="s">
        <v>871</v>
      </c>
      <c r="C32" s="6">
        <v>50</v>
      </c>
      <c r="D32" s="36"/>
      <c r="M32" s="20" t="s">
        <v>414</v>
      </c>
      <c r="N32" s="23" t="s">
        <v>18</v>
      </c>
      <c r="O32" s="56">
        <v>17975</v>
      </c>
      <c r="P32" s="23" t="s">
        <v>423</v>
      </c>
    </row>
    <row r="33" spans="1:16" x14ac:dyDescent="0.2">
      <c r="A33" s="7" t="s">
        <v>829</v>
      </c>
      <c r="B33" s="11" t="s">
        <v>872</v>
      </c>
      <c r="C33" s="6">
        <v>16887.615000000002</v>
      </c>
      <c r="D33" s="36"/>
      <c r="M33" s="20" t="s">
        <v>414</v>
      </c>
      <c r="N33" s="23" t="s">
        <v>417</v>
      </c>
      <c r="O33" s="57">
        <v>7998.29</v>
      </c>
      <c r="P33" s="23" t="s">
        <v>424</v>
      </c>
    </row>
    <row r="34" spans="1:16" x14ac:dyDescent="0.2">
      <c r="A34" s="7" t="s">
        <v>829</v>
      </c>
      <c r="B34" s="11" t="s">
        <v>873</v>
      </c>
      <c r="C34" s="6">
        <v>1382</v>
      </c>
      <c r="D34" s="36"/>
      <c r="M34" s="20" t="s">
        <v>415</v>
      </c>
      <c r="N34" s="23" t="s">
        <v>429</v>
      </c>
      <c r="O34" s="22">
        <v>1902</v>
      </c>
      <c r="P34" s="23" t="s">
        <v>431</v>
      </c>
    </row>
    <row r="35" spans="1:16" x14ac:dyDescent="0.2">
      <c r="A35" s="7" t="s">
        <v>829</v>
      </c>
      <c r="B35" s="11" t="s">
        <v>874</v>
      </c>
      <c r="C35" s="6">
        <v>1000</v>
      </c>
      <c r="D35" s="36"/>
      <c r="M35" s="20" t="s">
        <v>415</v>
      </c>
      <c r="N35" s="23" t="s">
        <v>430</v>
      </c>
      <c r="O35" s="22">
        <v>1180</v>
      </c>
      <c r="P35" s="23" t="s">
        <v>432</v>
      </c>
    </row>
    <row r="36" spans="1:16" x14ac:dyDescent="0.2">
      <c r="A36" s="7" t="s">
        <v>829</v>
      </c>
      <c r="B36" s="11" t="s">
        <v>875</v>
      </c>
      <c r="C36" s="6">
        <v>275</v>
      </c>
      <c r="D36" s="36"/>
      <c r="M36" s="20" t="s">
        <v>414</v>
      </c>
      <c r="N36" s="23" t="s">
        <v>428</v>
      </c>
      <c r="O36" s="22">
        <v>1392</v>
      </c>
      <c r="P36" s="23" t="s">
        <v>425</v>
      </c>
    </row>
    <row r="37" spans="1:16" x14ac:dyDescent="0.2">
      <c r="A37" s="7" t="s">
        <v>876</v>
      </c>
      <c r="B37" s="11" t="s">
        <v>877</v>
      </c>
      <c r="C37" s="6">
        <v>1000</v>
      </c>
      <c r="D37" s="36"/>
      <c r="M37" s="20" t="s">
        <v>414</v>
      </c>
      <c r="N37" s="23" t="s">
        <v>122</v>
      </c>
      <c r="O37" s="22">
        <v>458.52</v>
      </c>
      <c r="P37" s="23" t="s">
        <v>426</v>
      </c>
    </row>
    <row r="38" spans="1:16" x14ac:dyDescent="0.2">
      <c r="A38" s="7" t="s">
        <v>842</v>
      </c>
      <c r="B38" s="11" t="s">
        <v>878</v>
      </c>
      <c r="C38" s="6">
        <v>200</v>
      </c>
      <c r="D38" s="36"/>
      <c r="M38" s="20" t="s">
        <v>414</v>
      </c>
      <c r="N38" s="23" t="s">
        <v>9</v>
      </c>
      <c r="O38" s="22">
        <v>589</v>
      </c>
      <c r="P38" s="23" t="s">
        <v>427</v>
      </c>
    </row>
    <row r="39" spans="1:16" x14ac:dyDescent="0.2">
      <c r="A39" s="1"/>
      <c r="B39" s="14"/>
      <c r="C39" s="15"/>
      <c r="M39" s="20" t="s">
        <v>433</v>
      </c>
      <c r="N39" s="23" t="s">
        <v>434</v>
      </c>
      <c r="O39" s="57">
        <v>12609.2</v>
      </c>
      <c r="P39" s="23" t="s">
        <v>437</v>
      </c>
    </row>
    <row r="40" spans="1:16" x14ac:dyDescent="0.2">
      <c r="A40" s="1"/>
      <c r="B40" s="1"/>
      <c r="C40" s="1"/>
      <c r="M40" s="20" t="s">
        <v>435</v>
      </c>
      <c r="N40" s="23" t="s">
        <v>436</v>
      </c>
      <c r="O40" s="57">
        <v>32750</v>
      </c>
      <c r="P40" s="23" t="s">
        <v>438</v>
      </c>
    </row>
    <row r="41" spans="1:16" x14ac:dyDescent="0.2">
      <c r="M41" s="20" t="s">
        <v>439</v>
      </c>
      <c r="N41" s="23" t="s">
        <v>61</v>
      </c>
      <c r="O41" s="22">
        <v>3700.4</v>
      </c>
      <c r="P41" s="23" t="s">
        <v>441</v>
      </c>
    </row>
    <row r="42" spans="1:16" x14ac:dyDescent="0.2">
      <c r="M42" s="20" t="s">
        <v>439</v>
      </c>
      <c r="N42" s="23" t="s">
        <v>23</v>
      </c>
      <c r="O42" s="22">
        <v>2320</v>
      </c>
      <c r="P42" s="23" t="s">
        <v>442</v>
      </c>
    </row>
    <row r="43" spans="1:16" x14ac:dyDescent="0.2">
      <c r="M43" s="20" t="s">
        <v>440</v>
      </c>
      <c r="N43" s="23" t="s">
        <v>8</v>
      </c>
      <c r="O43" s="22">
        <v>3000</v>
      </c>
      <c r="P43" s="23" t="s">
        <v>96</v>
      </c>
    </row>
    <row r="44" spans="1:16" x14ac:dyDescent="0.2">
      <c r="M44" s="1"/>
      <c r="N44" s="25"/>
      <c r="O44" s="26"/>
    </row>
    <row r="56" spans="1:3" x14ac:dyDescent="0.2">
      <c r="A56" s="1"/>
      <c r="B56" s="1"/>
      <c r="C56" s="1"/>
    </row>
    <row r="65" spans="1:5" x14ac:dyDescent="0.2">
      <c r="D65" s="17"/>
      <c r="E65" s="1"/>
    </row>
    <row r="66" spans="1:5" x14ac:dyDescent="0.2">
      <c r="A66" s="1"/>
      <c r="B66" s="1"/>
      <c r="C66" s="1"/>
      <c r="D66" s="17"/>
      <c r="E66" s="1"/>
    </row>
    <row r="67" spans="1:5" x14ac:dyDescent="0.2">
      <c r="D67" s="17"/>
      <c r="E67" s="1"/>
    </row>
    <row r="68" spans="1:5" x14ac:dyDescent="0.2">
      <c r="D68" s="17"/>
      <c r="E68" s="1"/>
    </row>
    <row r="73" spans="1:5" x14ac:dyDescent="0.2">
      <c r="D73" s="18"/>
      <c r="E73" s="1"/>
    </row>
    <row r="74" spans="1:5" s="34" customFormat="1" x14ac:dyDescent="0.2">
      <c r="D74" s="17"/>
      <c r="E74" s="33"/>
    </row>
    <row r="75" spans="1:5" x14ac:dyDescent="0.2">
      <c r="A75" s="33"/>
      <c r="B75" s="33"/>
      <c r="C75" s="33"/>
      <c r="D75" s="17"/>
      <c r="E75" s="1"/>
    </row>
    <row r="76" spans="1:5" x14ac:dyDescent="0.2">
      <c r="A76" s="33"/>
      <c r="B76" s="33"/>
      <c r="C76" s="33"/>
      <c r="D76" s="17"/>
      <c r="E76" s="1"/>
    </row>
    <row r="77" spans="1:5" x14ac:dyDescent="0.2">
      <c r="A77" s="1"/>
      <c r="B77" s="1"/>
      <c r="C77" s="1"/>
      <c r="D77" s="17"/>
      <c r="E77" s="1"/>
    </row>
    <row r="78" spans="1:5" x14ac:dyDescent="0.2">
      <c r="E78" s="1"/>
    </row>
    <row r="79" spans="1:5" x14ac:dyDescent="0.2">
      <c r="E79" s="1"/>
    </row>
    <row r="80" spans="1:5" x14ac:dyDescent="0.2">
      <c r="E80" s="1"/>
    </row>
    <row r="81" spans="5:5" x14ac:dyDescent="0.2">
      <c r="E81" s="1"/>
    </row>
    <row r="82" spans="5:5" x14ac:dyDescent="0.2">
      <c r="E82" s="1"/>
    </row>
    <row r="83" spans="5:5" x14ac:dyDescent="0.2">
      <c r="E83" s="1"/>
    </row>
    <row r="84" spans="5:5" x14ac:dyDescent="0.2">
      <c r="E84" s="1"/>
    </row>
    <row r="85" spans="5:5" x14ac:dyDescent="0.2">
      <c r="E85" s="1"/>
    </row>
    <row r="86" spans="5:5" x14ac:dyDescent="0.2">
      <c r="E86" s="1"/>
    </row>
    <row r="87" spans="5:5" x14ac:dyDescent="0.2">
      <c r="E87" s="1"/>
    </row>
    <row r="88" spans="5:5" x14ac:dyDescent="0.2">
      <c r="E88" s="1"/>
    </row>
    <row r="89" spans="5:5" x14ac:dyDescent="0.2">
      <c r="E89" s="1"/>
    </row>
    <row r="90" spans="5:5" x14ac:dyDescent="0.2">
      <c r="E90" s="1"/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P135"/>
  <sheetViews>
    <sheetView zoomScale="55" zoomScaleNormal="55" workbookViewId="0">
      <selection activeCell="I51" sqref="I51"/>
    </sheetView>
  </sheetViews>
  <sheetFormatPr baseColWidth="10" defaultRowHeight="12" x14ac:dyDescent="0.2"/>
  <cols>
    <col min="1" max="1" width="11.85546875" style="2" bestFit="1" customWidth="1"/>
    <col min="2" max="2" width="18.7109375" style="2" customWidth="1"/>
    <col min="3" max="3" width="15.7109375" style="2" bestFit="1" customWidth="1"/>
    <col min="4" max="4" width="11.85546875" style="2" bestFit="1" customWidth="1"/>
    <col min="5" max="5" width="11.42578125" style="2"/>
    <col min="6" max="6" width="12" style="2" bestFit="1" customWidth="1"/>
    <col min="7" max="16384" width="11.42578125" style="2"/>
  </cols>
  <sheetData>
    <row r="1" spans="1:16" x14ac:dyDescent="0.2">
      <c r="A1" s="1"/>
      <c r="B1" s="3" t="s">
        <v>0</v>
      </c>
      <c r="C1" s="55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35" t="s">
        <v>494</v>
      </c>
    </row>
    <row r="2" spans="1:16" x14ac:dyDescent="0.2">
      <c r="A2" s="4">
        <v>43168</v>
      </c>
      <c r="B2" s="5" t="s">
        <v>879</v>
      </c>
      <c r="C2" s="6">
        <v>18566.189999999999</v>
      </c>
      <c r="D2" s="12">
        <v>43168</v>
      </c>
      <c r="E2" s="27" t="s">
        <v>880</v>
      </c>
      <c r="F2" s="6">
        <v>22192.717000000001</v>
      </c>
      <c r="G2" s="12">
        <v>43168</v>
      </c>
      <c r="H2" s="13" t="s">
        <v>881</v>
      </c>
      <c r="I2" s="6">
        <v>11849.76</v>
      </c>
      <c r="J2" s="16">
        <v>43168</v>
      </c>
      <c r="K2" s="13" t="s">
        <v>882</v>
      </c>
      <c r="L2" s="6">
        <v>11171.63</v>
      </c>
      <c r="M2" s="20" t="s">
        <v>448</v>
      </c>
      <c r="N2" s="21" t="s">
        <v>4</v>
      </c>
      <c r="O2" s="22">
        <v>10230</v>
      </c>
      <c r="P2" s="23" t="s">
        <v>449</v>
      </c>
    </row>
    <row r="3" spans="1:16" x14ac:dyDescent="0.2">
      <c r="A3" s="4">
        <v>43168</v>
      </c>
      <c r="B3" s="8" t="s">
        <v>883</v>
      </c>
      <c r="C3" s="9">
        <v>1382</v>
      </c>
      <c r="D3" s="12">
        <v>43168</v>
      </c>
      <c r="E3" s="11" t="s">
        <v>884</v>
      </c>
      <c r="F3" s="9">
        <v>800</v>
      </c>
      <c r="G3" s="7">
        <v>43290</v>
      </c>
      <c r="H3" s="8" t="s">
        <v>560</v>
      </c>
      <c r="I3" s="9">
        <v>573</v>
      </c>
      <c r="J3" s="7">
        <v>43290</v>
      </c>
      <c r="K3" s="11" t="s">
        <v>561</v>
      </c>
      <c r="L3" s="6">
        <v>573</v>
      </c>
      <c r="M3" s="20" t="s">
        <v>450</v>
      </c>
      <c r="N3" s="21" t="s">
        <v>4</v>
      </c>
      <c r="O3" s="22">
        <v>9974.8000000000011</v>
      </c>
      <c r="P3" s="23" t="s">
        <v>5</v>
      </c>
    </row>
    <row r="4" spans="1:16" x14ac:dyDescent="0.2">
      <c r="A4" s="4">
        <v>43168</v>
      </c>
      <c r="B4" s="8" t="s">
        <v>885</v>
      </c>
      <c r="C4" s="9">
        <v>857.14</v>
      </c>
      <c r="D4" s="12">
        <v>43290</v>
      </c>
      <c r="E4" s="13" t="s">
        <v>886</v>
      </c>
      <c r="F4" s="6">
        <v>4593</v>
      </c>
      <c r="G4" s="7">
        <v>43290</v>
      </c>
      <c r="H4" s="11" t="s">
        <v>887</v>
      </c>
      <c r="I4" s="6">
        <v>198</v>
      </c>
      <c r="J4" s="37">
        <v>43382</v>
      </c>
      <c r="K4" s="11" t="s">
        <v>888</v>
      </c>
      <c r="L4" s="6">
        <v>10493.04</v>
      </c>
      <c r="M4" s="20" t="s">
        <v>451</v>
      </c>
      <c r="N4" s="24" t="s">
        <v>7</v>
      </c>
      <c r="O4" s="22">
        <v>9339</v>
      </c>
      <c r="P4" s="23" t="s">
        <v>453</v>
      </c>
    </row>
    <row r="5" spans="1:16" x14ac:dyDescent="0.2">
      <c r="A5" s="7">
        <v>43229</v>
      </c>
      <c r="B5" s="8" t="s">
        <v>889</v>
      </c>
      <c r="C5" s="9">
        <v>5651</v>
      </c>
      <c r="D5" s="12">
        <v>43290</v>
      </c>
      <c r="E5" s="8" t="s">
        <v>559</v>
      </c>
      <c r="F5" s="9">
        <v>523</v>
      </c>
      <c r="G5" s="7">
        <v>43382</v>
      </c>
      <c r="H5" s="11" t="s">
        <v>890</v>
      </c>
      <c r="I5" s="9">
        <v>11007.31</v>
      </c>
      <c r="J5" s="37" t="s">
        <v>891</v>
      </c>
      <c r="K5" s="11" t="s">
        <v>892</v>
      </c>
      <c r="L5" s="6">
        <v>11900.2</v>
      </c>
      <c r="M5" s="20" t="s">
        <v>452</v>
      </c>
      <c r="N5" s="24" t="s">
        <v>13</v>
      </c>
      <c r="O5" s="22">
        <v>23200</v>
      </c>
      <c r="P5" s="23" t="s">
        <v>454</v>
      </c>
    </row>
    <row r="6" spans="1:16" x14ac:dyDescent="0.2">
      <c r="A6" s="7">
        <v>43229</v>
      </c>
      <c r="B6" s="8" t="s">
        <v>893</v>
      </c>
      <c r="C6" s="9">
        <v>4748.5</v>
      </c>
      <c r="D6" s="7">
        <v>43290</v>
      </c>
      <c r="E6" s="11" t="s">
        <v>894</v>
      </c>
      <c r="F6" s="6">
        <v>198</v>
      </c>
      <c r="G6" s="7" t="s">
        <v>895</v>
      </c>
      <c r="H6" s="11" t="s">
        <v>896</v>
      </c>
      <c r="I6" s="9">
        <v>1465</v>
      </c>
      <c r="J6" s="37" t="s">
        <v>479</v>
      </c>
      <c r="K6" s="11" t="s">
        <v>897</v>
      </c>
      <c r="L6" s="6">
        <v>10194.040000000001</v>
      </c>
      <c r="M6" s="20" t="s">
        <v>451</v>
      </c>
      <c r="N6" s="24" t="s">
        <v>61</v>
      </c>
      <c r="O6" s="22">
        <v>3700.4</v>
      </c>
      <c r="P6" s="23" t="s">
        <v>455</v>
      </c>
    </row>
    <row r="7" spans="1:16" x14ac:dyDescent="0.2">
      <c r="A7" s="7">
        <v>43290</v>
      </c>
      <c r="B7" s="8" t="s">
        <v>898</v>
      </c>
      <c r="C7" s="9">
        <v>310</v>
      </c>
      <c r="D7" s="7">
        <v>43382</v>
      </c>
      <c r="E7" s="11" t="s">
        <v>899</v>
      </c>
      <c r="F7" s="6">
        <v>21224.156999999999</v>
      </c>
      <c r="G7" s="37" t="s">
        <v>895</v>
      </c>
      <c r="H7" s="13" t="s">
        <v>900</v>
      </c>
      <c r="I7" s="6">
        <v>288</v>
      </c>
      <c r="J7" s="28" t="s">
        <v>450</v>
      </c>
      <c r="K7" s="13" t="s">
        <v>901</v>
      </c>
      <c r="L7" s="6">
        <v>11200.19</v>
      </c>
      <c r="M7" s="20" t="s">
        <v>451</v>
      </c>
      <c r="N7" s="21" t="s">
        <v>20</v>
      </c>
      <c r="O7" s="22">
        <v>510</v>
      </c>
      <c r="P7" s="23" t="s">
        <v>456</v>
      </c>
    </row>
    <row r="8" spans="1:16" x14ac:dyDescent="0.2">
      <c r="A8" s="7">
        <v>43382</v>
      </c>
      <c r="B8" s="8" t="s">
        <v>902</v>
      </c>
      <c r="C8" s="9">
        <v>17179.044999999998</v>
      </c>
      <c r="D8" s="7">
        <v>43382</v>
      </c>
      <c r="E8" s="8" t="s">
        <v>903</v>
      </c>
      <c r="F8" s="9">
        <v>3000</v>
      </c>
      <c r="G8" s="7" t="s">
        <v>891</v>
      </c>
      <c r="H8" s="11" t="s">
        <v>904</v>
      </c>
      <c r="I8" s="6">
        <v>11950.19</v>
      </c>
      <c r="J8" s="28">
        <v>43168</v>
      </c>
      <c r="K8" s="13" t="s">
        <v>905</v>
      </c>
      <c r="L8" s="6">
        <v>142</v>
      </c>
      <c r="M8" s="20" t="s">
        <v>451</v>
      </c>
      <c r="N8" s="24" t="s">
        <v>8</v>
      </c>
      <c r="O8" s="22">
        <v>3000</v>
      </c>
      <c r="P8" s="23" t="s">
        <v>457</v>
      </c>
    </row>
    <row r="9" spans="1:16" x14ac:dyDescent="0.2">
      <c r="A9" s="7">
        <v>43382</v>
      </c>
      <c r="B9" s="8" t="s">
        <v>906</v>
      </c>
      <c r="C9" s="9">
        <v>1382</v>
      </c>
      <c r="D9" s="7">
        <v>43382</v>
      </c>
      <c r="E9" s="11" t="s">
        <v>907</v>
      </c>
      <c r="F9" s="6">
        <v>1000</v>
      </c>
      <c r="G9" s="37" t="s">
        <v>479</v>
      </c>
      <c r="H9" s="11" t="s">
        <v>908</v>
      </c>
      <c r="I9" s="6">
        <v>11150.19</v>
      </c>
      <c r="J9" s="28" t="s">
        <v>909</v>
      </c>
      <c r="K9" s="13" t="s">
        <v>910</v>
      </c>
      <c r="L9" s="6">
        <v>142</v>
      </c>
      <c r="M9" s="20" t="s">
        <v>451</v>
      </c>
      <c r="N9" s="24" t="s">
        <v>98</v>
      </c>
      <c r="O9" s="22">
        <v>930</v>
      </c>
      <c r="P9" s="23" t="s">
        <v>458</v>
      </c>
    </row>
    <row r="10" spans="1:16" x14ac:dyDescent="0.2">
      <c r="A10" s="7">
        <v>43382</v>
      </c>
      <c r="B10" s="8" t="s">
        <v>911</v>
      </c>
      <c r="C10" s="9">
        <v>1000</v>
      </c>
      <c r="D10" s="7" t="s">
        <v>895</v>
      </c>
      <c r="E10" s="11" t="s">
        <v>912</v>
      </c>
      <c r="F10" s="6">
        <v>932</v>
      </c>
      <c r="G10" s="37" t="s">
        <v>482</v>
      </c>
      <c r="H10" s="11" t="s">
        <v>913</v>
      </c>
      <c r="I10" s="6">
        <v>3500</v>
      </c>
      <c r="J10" s="51" t="s">
        <v>450</v>
      </c>
      <c r="K10" s="52" t="s">
        <v>443</v>
      </c>
      <c r="L10" s="53">
        <v>5071</v>
      </c>
      <c r="M10" s="20" t="s">
        <v>451</v>
      </c>
      <c r="N10" s="24" t="s">
        <v>15</v>
      </c>
      <c r="O10" s="22">
        <v>1015</v>
      </c>
      <c r="P10" s="23" t="s">
        <v>459</v>
      </c>
    </row>
    <row r="11" spans="1:16" x14ac:dyDescent="0.2">
      <c r="A11" s="7">
        <v>43413</v>
      </c>
      <c r="B11" s="8" t="s">
        <v>914</v>
      </c>
      <c r="C11" s="9">
        <v>4000</v>
      </c>
      <c r="D11" s="7" t="s">
        <v>891</v>
      </c>
      <c r="E11" s="11" t="s">
        <v>915</v>
      </c>
      <c r="F11" s="6">
        <v>22755.121999999999</v>
      </c>
      <c r="G11" s="37" t="s">
        <v>450</v>
      </c>
      <c r="H11" s="13" t="s">
        <v>916</v>
      </c>
      <c r="I11" s="6">
        <v>10564.46</v>
      </c>
      <c r="J11" s="1"/>
      <c r="K11" s="14"/>
      <c r="L11" s="15"/>
      <c r="M11" s="20" t="s">
        <v>451</v>
      </c>
      <c r="N11" s="23" t="s">
        <v>9</v>
      </c>
      <c r="O11" s="22">
        <v>658</v>
      </c>
      <c r="P11" s="23" t="s">
        <v>460</v>
      </c>
    </row>
    <row r="12" spans="1:16" x14ac:dyDescent="0.2">
      <c r="A12" s="7" t="s">
        <v>895</v>
      </c>
      <c r="B12" s="8" t="s">
        <v>917</v>
      </c>
      <c r="C12" s="9">
        <v>718</v>
      </c>
      <c r="D12" s="7" t="s">
        <v>479</v>
      </c>
      <c r="E12" s="11" t="s">
        <v>918</v>
      </c>
      <c r="F12" s="6">
        <v>23751.039000000001</v>
      </c>
      <c r="G12" s="37">
        <v>43168</v>
      </c>
      <c r="H12" s="13" t="s">
        <v>919</v>
      </c>
      <c r="I12" s="6">
        <v>200</v>
      </c>
      <c r="M12" s="20" t="s">
        <v>461</v>
      </c>
      <c r="N12" s="21" t="s">
        <v>8</v>
      </c>
      <c r="O12" s="22">
        <v>3000</v>
      </c>
      <c r="P12" s="23" t="s">
        <v>28</v>
      </c>
    </row>
    <row r="13" spans="1:16" x14ac:dyDescent="0.2">
      <c r="A13" s="7" t="s">
        <v>895</v>
      </c>
      <c r="B13" s="8" t="s">
        <v>920</v>
      </c>
      <c r="C13" s="9">
        <v>145</v>
      </c>
      <c r="D13" s="7" t="s">
        <v>450</v>
      </c>
      <c r="E13" s="11" t="s">
        <v>921</v>
      </c>
      <c r="F13" s="6">
        <v>21595.618999999999</v>
      </c>
      <c r="G13" s="51" t="s">
        <v>450</v>
      </c>
      <c r="H13" s="52" t="s">
        <v>443</v>
      </c>
      <c r="I13" s="53">
        <v>9242.9</v>
      </c>
      <c r="M13" s="20" t="s">
        <v>461</v>
      </c>
      <c r="N13" s="21" t="s">
        <v>22</v>
      </c>
      <c r="O13" s="22">
        <v>4756</v>
      </c>
      <c r="P13" s="23" t="s">
        <v>462</v>
      </c>
    </row>
    <row r="14" spans="1:16" x14ac:dyDescent="0.2">
      <c r="A14" s="7" t="s">
        <v>895</v>
      </c>
      <c r="B14" s="8" t="s">
        <v>922</v>
      </c>
      <c r="C14" s="9">
        <v>175</v>
      </c>
      <c r="D14" s="7" t="s">
        <v>450</v>
      </c>
      <c r="E14" s="11" t="s">
        <v>923</v>
      </c>
      <c r="F14" s="6">
        <v>800</v>
      </c>
      <c r="G14" s="1"/>
      <c r="H14" s="14"/>
      <c r="I14" s="15"/>
      <c r="M14" s="20" t="s">
        <v>463</v>
      </c>
      <c r="N14" s="23" t="s">
        <v>59</v>
      </c>
      <c r="O14" s="22">
        <v>6666</v>
      </c>
      <c r="P14" s="23" t="s">
        <v>467</v>
      </c>
    </row>
    <row r="15" spans="1:16" x14ac:dyDescent="0.2">
      <c r="A15" s="7" t="s">
        <v>891</v>
      </c>
      <c r="B15" s="8" t="s">
        <v>924</v>
      </c>
      <c r="C15" s="9">
        <v>18446.334999999999</v>
      </c>
      <c r="D15" s="7">
        <v>43168</v>
      </c>
      <c r="E15" s="11" t="s">
        <v>925</v>
      </c>
      <c r="F15" s="6">
        <v>428</v>
      </c>
      <c r="M15" s="20" t="s">
        <v>463</v>
      </c>
      <c r="N15" s="23" t="s">
        <v>61</v>
      </c>
      <c r="O15" s="22">
        <v>3700.4</v>
      </c>
      <c r="P15" s="23" t="s">
        <v>468</v>
      </c>
    </row>
    <row r="16" spans="1:16" x14ac:dyDescent="0.2">
      <c r="A16" s="7" t="s">
        <v>891</v>
      </c>
      <c r="B16" s="8" t="s">
        <v>926</v>
      </c>
      <c r="C16" s="9">
        <v>1382</v>
      </c>
      <c r="D16" s="7">
        <v>43321</v>
      </c>
      <c r="E16" s="11" t="s">
        <v>850</v>
      </c>
      <c r="F16" s="6">
        <v>200</v>
      </c>
      <c r="M16" s="20" t="s">
        <v>463</v>
      </c>
      <c r="N16" s="23" t="s">
        <v>14</v>
      </c>
      <c r="O16" s="22">
        <v>54973.67</v>
      </c>
      <c r="P16" s="23" t="s">
        <v>262</v>
      </c>
    </row>
    <row r="17" spans="1:16" x14ac:dyDescent="0.2">
      <c r="A17" s="7" t="s">
        <v>891</v>
      </c>
      <c r="B17" s="8" t="s">
        <v>927</v>
      </c>
      <c r="C17" s="9">
        <v>1000</v>
      </c>
      <c r="D17" s="7" t="s">
        <v>891</v>
      </c>
      <c r="E17" s="11" t="s">
        <v>928</v>
      </c>
      <c r="F17" s="6">
        <v>140</v>
      </c>
      <c r="M17" s="20" t="s">
        <v>463</v>
      </c>
      <c r="N17" s="23" t="s">
        <v>17</v>
      </c>
      <c r="O17" s="56">
        <v>33522.129999999997</v>
      </c>
      <c r="P17" s="23" t="s">
        <v>469</v>
      </c>
    </row>
    <row r="18" spans="1:16" x14ac:dyDescent="0.2">
      <c r="A18" s="7" t="s">
        <v>891</v>
      </c>
      <c r="B18" s="8" t="s">
        <v>929</v>
      </c>
      <c r="C18" s="9">
        <v>26</v>
      </c>
      <c r="D18" s="7" t="s">
        <v>475</v>
      </c>
      <c r="E18" s="11" t="s">
        <v>930</v>
      </c>
      <c r="F18" s="6">
        <v>50</v>
      </c>
      <c r="M18" s="20" t="s">
        <v>464</v>
      </c>
      <c r="N18" s="23" t="s">
        <v>465</v>
      </c>
      <c r="O18" s="57">
        <v>31320</v>
      </c>
      <c r="P18" s="23" t="s">
        <v>470</v>
      </c>
    </row>
    <row r="19" spans="1:16" x14ac:dyDescent="0.2">
      <c r="A19" s="7" t="s">
        <v>931</v>
      </c>
      <c r="B19" s="8" t="s">
        <v>932</v>
      </c>
      <c r="C19" s="9">
        <v>150</v>
      </c>
      <c r="D19" s="7" t="s">
        <v>933</v>
      </c>
      <c r="E19" s="11" t="s">
        <v>934</v>
      </c>
      <c r="F19" s="6">
        <v>22</v>
      </c>
      <c r="M19" s="20" t="s">
        <v>463</v>
      </c>
      <c r="N19" s="23" t="s">
        <v>466</v>
      </c>
      <c r="O19" s="22">
        <v>4408</v>
      </c>
      <c r="P19" s="23" t="s">
        <v>471</v>
      </c>
    </row>
    <row r="20" spans="1:16" x14ac:dyDescent="0.2">
      <c r="A20" s="7" t="s">
        <v>931</v>
      </c>
      <c r="B20" s="8" t="s">
        <v>935</v>
      </c>
      <c r="C20" s="9">
        <v>500</v>
      </c>
      <c r="D20" s="7" t="s">
        <v>933</v>
      </c>
      <c r="E20" s="11" t="s">
        <v>850</v>
      </c>
      <c r="F20" s="6">
        <v>200</v>
      </c>
      <c r="M20" s="20" t="s">
        <v>463</v>
      </c>
      <c r="N20" s="23" t="s">
        <v>122</v>
      </c>
      <c r="O20" s="22">
        <v>458.52</v>
      </c>
      <c r="P20" s="23" t="s">
        <v>472</v>
      </c>
    </row>
    <row r="21" spans="1:16" x14ac:dyDescent="0.2">
      <c r="A21" s="7" t="s">
        <v>931</v>
      </c>
      <c r="B21" s="8" t="s">
        <v>936</v>
      </c>
      <c r="C21" s="9">
        <v>240</v>
      </c>
      <c r="D21" s="51" t="s">
        <v>450</v>
      </c>
      <c r="E21" s="52" t="s">
        <v>443</v>
      </c>
      <c r="F21" s="53">
        <v>9517</v>
      </c>
      <c r="M21" s="20" t="s">
        <v>463</v>
      </c>
      <c r="N21" s="23" t="s">
        <v>9</v>
      </c>
      <c r="O21" s="22">
        <v>2217</v>
      </c>
      <c r="P21" s="23" t="s">
        <v>473</v>
      </c>
    </row>
    <row r="22" spans="1:16" x14ac:dyDescent="0.2">
      <c r="A22" s="7" t="s">
        <v>931</v>
      </c>
      <c r="B22" s="8" t="s">
        <v>937</v>
      </c>
      <c r="C22" s="9">
        <v>324</v>
      </c>
      <c r="D22" s="1"/>
      <c r="E22" s="14"/>
      <c r="F22" s="15"/>
      <c r="M22" s="20" t="s">
        <v>474</v>
      </c>
      <c r="N22" s="23" t="s">
        <v>61</v>
      </c>
      <c r="O22" s="22">
        <v>3700.4</v>
      </c>
      <c r="P22" s="23" t="s">
        <v>476</v>
      </c>
    </row>
    <row r="23" spans="1:16" x14ac:dyDescent="0.2">
      <c r="A23" s="7" t="s">
        <v>931</v>
      </c>
      <c r="B23" s="11" t="s">
        <v>938</v>
      </c>
      <c r="C23" s="6">
        <v>2853</v>
      </c>
      <c r="D23" s="36"/>
      <c r="M23" s="20" t="s">
        <v>475</v>
      </c>
      <c r="N23" s="23" t="s">
        <v>8</v>
      </c>
      <c r="O23" s="22">
        <v>3000</v>
      </c>
      <c r="P23" s="23" t="s">
        <v>96</v>
      </c>
    </row>
    <row r="24" spans="1:16" x14ac:dyDescent="0.2">
      <c r="A24" s="7" t="s">
        <v>931</v>
      </c>
      <c r="B24" s="11" t="s">
        <v>939</v>
      </c>
      <c r="C24" s="6">
        <v>981.4</v>
      </c>
      <c r="D24" s="36"/>
      <c r="M24" s="20" t="s">
        <v>474</v>
      </c>
      <c r="N24" s="23" t="s">
        <v>434</v>
      </c>
      <c r="O24" s="57">
        <v>17859.96</v>
      </c>
      <c r="P24" s="23" t="s">
        <v>477</v>
      </c>
    </row>
    <row r="25" spans="1:16" x14ac:dyDescent="0.2">
      <c r="A25" s="7" t="s">
        <v>931</v>
      </c>
      <c r="B25" s="11" t="s">
        <v>940</v>
      </c>
      <c r="C25" s="6">
        <v>200</v>
      </c>
      <c r="D25" s="36"/>
      <c r="M25" s="20" t="s">
        <v>474</v>
      </c>
      <c r="N25" s="23" t="s">
        <v>283</v>
      </c>
      <c r="O25" s="22">
        <v>2320</v>
      </c>
      <c r="P25" s="23" t="s">
        <v>478</v>
      </c>
    </row>
    <row r="26" spans="1:16" x14ac:dyDescent="0.2">
      <c r="A26" s="7" t="s">
        <v>931</v>
      </c>
      <c r="B26" s="11" t="s">
        <v>941</v>
      </c>
      <c r="C26" s="6">
        <v>359</v>
      </c>
      <c r="D26" s="36"/>
      <c r="M26" s="20" t="s">
        <v>479</v>
      </c>
      <c r="N26" s="23" t="s">
        <v>8</v>
      </c>
      <c r="O26" s="22">
        <v>3000</v>
      </c>
      <c r="P26" s="23" t="s">
        <v>28</v>
      </c>
    </row>
    <row r="27" spans="1:16" x14ac:dyDescent="0.2">
      <c r="A27" s="7" t="s">
        <v>931</v>
      </c>
      <c r="B27" s="11" t="s">
        <v>942</v>
      </c>
      <c r="C27" s="6">
        <v>1500</v>
      </c>
      <c r="D27" s="36"/>
      <c r="M27" s="20" t="s">
        <v>479</v>
      </c>
      <c r="N27" s="23" t="s">
        <v>18</v>
      </c>
      <c r="O27" s="56">
        <v>33174</v>
      </c>
      <c r="P27" s="23" t="s">
        <v>480</v>
      </c>
    </row>
    <row r="28" spans="1:16" x14ac:dyDescent="0.2">
      <c r="A28" s="7" t="s">
        <v>479</v>
      </c>
      <c r="B28" s="11" t="s">
        <v>943</v>
      </c>
      <c r="C28" s="6">
        <v>15787.165000000001</v>
      </c>
      <c r="D28" s="36"/>
      <c r="M28" s="20" t="s">
        <v>481</v>
      </c>
      <c r="N28" s="23" t="s">
        <v>61</v>
      </c>
      <c r="O28" s="22">
        <v>3700.4</v>
      </c>
      <c r="P28" s="23" t="s">
        <v>484</v>
      </c>
    </row>
    <row r="29" spans="1:16" x14ac:dyDescent="0.2">
      <c r="A29" s="7" t="s">
        <v>479</v>
      </c>
      <c r="B29" s="11" t="s">
        <v>944</v>
      </c>
      <c r="C29" s="6">
        <v>1382</v>
      </c>
      <c r="D29" s="36"/>
      <c r="M29" s="20" t="s">
        <v>482</v>
      </c>
      <c r="N29" s="23" t="s">
        <v>483</v>
      </c>
      <c r="O29" s="22">
        <v>696</v>
      </c>
      <c r="P29" s="23" t="s">
        <v>485</v>
      </c>
    </row>
    <row r="30" spans="1:16" x14ac:dyDescent="0.2">
      <c r="A30" s="7" t="s">
        <v>479</v>
      </c>
      <c r="B30" s="11" t="s">
        <v>945</v>
      </c>
      <c r="C30" s="6">
        <v>1000</v>
      </c>
      <c r="D30" s="36"/>
      <c r="M30" s="20" t="s">
        <v>481</v>
      </c>
      <c r="N30" s="23" t="s">
        <v>10</v>
      </c>
      <c r="O30" s="22">
        <v>2204</v>
      </c>
      <c r="P30" s="23" t="s">
        <v>486</v>
      </c>
    </row>
    <row r="31" spans="1:16" x14ac:dyDescent="0.2">
      <c r="A31" s="7" t="s">
        <v>482</v>
      </c>
      <c r="B31" s="11" t="s">
        <v>946</v>
      </c>
      <c r="C31" s="6">
        <v>700</v>
      </c>
      <c r="D31" s="36"/>
      <c r="M31" s="20" t="s">
        <v>481</v>
      </c>
      <c r="N31" s="23" t="s">
        <v>363</v>
      </c>
      <c r="O31" s="22">
        <v>404.84</v>
      </c>
      <c r="P31" s="23" t="s">
        <v>487</v>
      </c>
    </row>
    <row r="32" spans="1:16" x14ac:dyDescent="0.2">
      <c r="A32" s="7" t="s">
        <v>482</v>
      </c>
      <c r="B32" s="11" t="s">
        <v>947</v>
      </c>
      <c r="C32" s="6">
        <v>292</v>
      </c>
      <c r="D32" s="36"/>
      <c r="M32" s="20" t="s">
        <v>481</v>
      </c>
      <c r="N32" s="23" t="s">
        <v>378</v>
      </c>
      <c r="O32" s="22">
        <v>5600</v>
      </c>
      <c r="P32" s="23" t="s">
        <v>488</v>
      </c>
    </row>
    <row r="33" spans="1:16" x14ac:dyDescent="0.2">
      <c r="A33" s="7" t="s">
        <v>482</v>
      </c>
      <c r="B33" s="11" t="s">
        <v>948</v>
      </c>
      <c r="C33" s="6">
        <v>980</v>
      </c>
      <c r="D33" s="36"/>
      <c r="M33" s="20" t="s">
        <v>481</v>
      </c>
      <c r="N33" s="23" t="s">
        <v>9</v>
      </c>
      <c r="O33" s="22">
        <v>589</v>
      </c>
      <c r="P33" s="23" t="s">
        <v>489</v>
      </c>
    </row>
    <row r="34" spans="1:16" x14ac:dyDescent="0.2">
      <c r="A34" s="7" t="s">
        <v>482</v>
      </c>
      <c r="B34" s="11" t="s">
        <v>949</v>
      </c>
      <c r="C34" s="6">
        <v>200</v>
      </c>
      <c r="D34" s="36"/>
      <c r="M34" s="1"/>
      <c r="N34" s="25"/>
      <c r="O34" s="26"/>
    </row>
    <row r="35" spans="1:16" x14ac:dyDescent="0.2">
      <c r="A35" s="7" t="s">
        <v>450</v>
      </c>
      <c r="B35" s="11" t="s">
        <v>950</v>
      </c>
      <c r="C35" s="6">
        <v>16016.17</v>
      </c>
      <c r="D35" s="36"/>
    </row>
    <row r="36" spans="1:16" x14ac:dyDescent="0.2">
      <c r="A36" s="7" t="s">
        <v>450</v>
      </c>
      <c r="B36" s="11" t="s">
        <v>951</v>
      </c>
      <c r="C36" s="6">
        <v>1382</v>
      </c>
      <c r="D36" s="36"/>
    </row>
    <row r="37" spans="1:16" x14ac:dyDescent="0.2">
      <c r="A37" s="7" t="s">
        <v>450</v>
      </c>
      <c r="B37" s="11" t="s">
        <v>952</v>
      </c>
      <c r="C37" s="6">
        <v>1000</v>
      </c>
      <c r="D37" s="36"/>
    </row>
    <row r="38" spans="1:16" x14ac:dyDescent="0.2">
      <c r="A38" s="29">
        <v>43230</v>
      </c>
      <c r="B38" s="47" t="s">
        <v>953</v>
      </c>
      <c r="C38" s="46">
        <v>464</v>
      </c>
      <c r="D38" s="54"/>
    </row>
    <row r="39" spans="1:16" x14ac:dyDescent="0.2">
      <c r="A39" s="29">
        <v>43230</v>
      </c>
      <c r="B39" s="47" t="s">
        <v>954</v>
      </c>
      <c r="C39" s="46">
        <v>500</v>
      </c>
      <c r="D39" s="54"/>
    </row>
    <row r="40" spans="1:16" x14ac:dyDescent="0.2">
      <c r="A40" s="29">
        <v>43230</v>
      </c>
      <c r="B40" s="47" t="s">
        <v>955</v>
      </c>
      <c r="C40" s="46">
        <v>300</v>
      </c>
      <c r="D40" s="54"/>
    </row>
    <row r="41" spans="1:16" x14ac:dyDescent="0.2">
      <c r="A41" s="29">
        <v>43230</v>
      </c>
      <c r="B41" s="47" t="s">
        <v>956</v>
      </c>
      <c r="C41" s="46">
        <v>140</v>
      </c>
      <c r="D41" s="54"/>
    </row>
    <row r="42" spans="1:16" x14ac:dyDescent="0.2">
      <c r="A42" s="29">
        <v>43230</v>
      </c>
      <c r="B42" s="47" t="s">
        <v>957</v>
      </c>
      <c r="C42" s="46">
        <v>1059</v>
      </c>
      <c r="D42" s="54"/>
    </row>
    <row r="43" spans="1:16" x14ac:dyDescent="0.2">
      <c r="A43" s="29">
        <v>43230</v>
      </c>
      <c r="B43" s="47" t="s">
        <v>958</v>
      </c>
      <c r="C43" s="46">
        <v>576</v>
      </c>
      <c r="D43" s="54"/>
    </row>
    <row r="44" spans="1:16" x14ac:dyDescent="0.2">
      <c r="A44" s="29">
        <v>43230</v>
      </c>
      <c r="B44" s="47" t="s">
        <v>959</v>
      </c>
      <c r="C44" s="46">
        <v>810</v>
      </c>
      <c r="D44" s="54"/>
    </row>
    <row r="45" spans="1:16" x14ac:dyDescent="0.2">
      <c r="A45" s="29">
        <v>43230</v>
      </c>
      <c r="B45" s="47" t="s">
        <v>960</v>
      </c>
      <c r="C45" s="46">
        <v>1500</v>
      </c>
      <c r="D45" s="54"/>
    </row>
    <row r="46" spans="1:16" x14ac:dyDescent="0.2">
      <c r="A46" s="29">
        <v>43230</v>
      </c>
      <c r="B46" s="47" t="s">
        <v>961</v>
      </c>
      <c r="C46" s="46">
        <v>1000</v>
      </c>
      <c r="D46" s="54"/>
    </row>
    <row r="47" spans="1:16" x14ac:dyDescent="0.2">
      <c r="A47" s="29">
        <v>43230</v>
      </c>
      <c r="B47" s="47" t="s">
        <v>962</v>
      </c>
      <c r="C47" s="46">
        <v>200</v>
      </c>
      <c r="D47" s="54"/>
    </row>
    <row r="48" spans="1:16" x14ac:dyDescent="0.2">
      <c r="A48" s="29">
        <v>43230</v>
      </c>
      <c r="B48" s="47" t="s">
        <v>963</v>
      </c>
      <c r="C48" s="46">
        <v>140</v>
      </c>
      <c r="D48" s="54"/>
    </row>
    <row r="49" spans="1:4" x14ac:dyDescent="0.2">
      <c r="A49" s="29">
        <v>43230</v>
      </c>
      <c r="B49" s="47" t="s">
        <v>964</v>
      </c>
      <c r="C49" s="46">
        <v>210</v>
      </c>
      <c r="D49" s="54"/>
    </row>
    <row r="50" spans="1:4" x14ac:dyDescent="0.2">
      <c r="A50" s="29">
        <v>43230</v>
      </c>
      <c r="B50" s="47" t="s">
        <v>965</v>
      </c>
      <c r="C50" s="46">
        <v>170</v>
      </c>
      <c r="D50" s="54"/>
    </row>
    <row r="51" spans="1:4" x14ac:dyDescent="0.2">
      <c r="A51" s="29">
        <v>43230</v>
      </c>
      <c r="B51" s="47" t="s">
        <v>966</v>
      </c>
      <c r="C51" s="46">
        <v>523.84</v>
      </c>
      <c r="D51" s="54"/>
    </row>
    <row r="52" spans="1:4" x14ac:dyDescent="0.2">
      <c r="A52" s="29">
        <v>43230</v>
      </c>
      <c r="B52" s="47" t="s">
        <v>444</v>
      </c>
      <c r="C52" s="46">
        <v>440.16</v>
      </c>
      <c r="D52" s="54"/>
    </row>
    <row r="53" spans="1:4" x14ac:dyDescent="0.2">
      <c r="A53" s="29">
        <v>43230</v>
      </c>
      <c r="B53" s="47" t="s">
        <v>445</v>
      </c>
      <c r="C53" s="46">
        <v>649.6</v>
      </c>
      <c r="D53" s="54"/>
    </row>
    <row r="54" spans="1:4" x14ac:dyDescent="0.2">
      <c r="A54" s="29">
        <v>43230</v>
      </c>
      <c r="B54" s="47" t="s">
        <v>446</v>
      </c>
      <c r="C54" s="46">
        <v>5317.95</v>
      </c>
      <c r="D54" s="54"/>
    </row>
    <row r="55" spans="1:4" x14ac:dyDescent="0.2">
      <c r="A55" s="29">
        <v>43230</v>
      </c>
      <c r="B55" s="47" t="s">
        <v>967</v>
      </c>
      <c r="C55" s="46">
        <v>650</v>
      </c>
      <c r="D55" s="54"/>
    </row>
    <row r="56" spans="1:4" x14ac:dyDescent="0.2">
      <c r="A56" s="29">
        <v>43230</v>
      </c>
      <c r="B56" s="47" t="s">
        <v>968</v>
      </c>
      <c r="C56" s="46">
        <v>3000</v>
      </c>
      <c r="D56" s="54"/>
    </row>
    <row r="57" spans="1:4" x14ac:dyDescent="0.2">
      <c r="A57" s="29">
        <v>43230</v>
      </c>
      <c r="B57" s="47" t="s">
        <v>969</v>
      </c>
      <c r="C57" s="46">
        <v>600</v>
      </c>
      <c r="D57" s="54"/>
    </row>
    <row r="58" spans="1:4" x14ac:dyDescent="0.2">
      <c r="A58" s="29">
        <v>43230</v>
      </c>
      <c r="B58" s="47" t="s">
        <v>968</v>
      </c>
      <c r="C58" s="46">
        <v>1125</v>
      </c>
      <c r="D58" s="54"/>
    </row>
    <row r="59" spans="1:4" x14ac:dyDescent="0.2">
      <c r="A59" s="29">
        <v>43230</v>
      </c>
      <c r="B59" s="47" t="s">
        <v>970</v>
      </c>
      <c r="C59" s="46">
        <v>4746</v>
      </c>
      <c r="D59" s="54"/>
    </row>
    <row r="60" spans="1:4" x14ac:dyDescent="0.2">
      <c r="A60" s="29">
        <v>43230</v>
      </c>
      <c r="B60" s="47" t="s">
        <v>559</v>
      </c>
      <c r="C60" s="46">
        <v>523</v>
      </c>
      <c r="D60" s="54"/>
    </row>
    <row r="61" spans="1:4" x14ac:dyDescent="0.2">
      <c r="A61" s="29">
        <v>43230</v>
      </c>
      <c r="B61" s="47" t="s">
        <v>560</v>
      </c>
      <c r="C61" s="46">
        <v>573</v>
      </c>
      <c r="D61" s="54"/>
    </row>
    <row r="62" spans="1:4" x14ac:dyDescent="0.2">
      <c r="A62" s="29">
        <v>43230</v>
      </c>
      <c r="B62" s="47" t="s">
        <v>561</v>
      </c>
      <c r="C62" s="46">
        <v>573</v>
      </c>
      <c r="D62" s="54"/>
    </row>
    <row r="63" spans="1:4" x14ac:dyDescent="0.2">
      <c r="A63" s="29">
        <v>43230</v>
      </c>
      <c r="B63" s="47" t="s">
        <v>971</v>
      </c>
      <c r="C63" s="46">
        <v>3230</v>
      </c>
      <c r="D63" s="54"/>
    </row>
    <row r="64" spans="1:4" x14ac:dyDescent="0.2">
      <c r="A64" s="29">
        <v>43230</v>
      </c>
      <c r="B64" s="47" t="s">
        <v>447</v>
      </c>
      <c r="C64" s="46">
        <v>4219.6000000000004</v>
      </c>
      <c r="D64" s="54"/>
    </row>
    <row r="65" spans="1:4" x14ac:dyDescent="0.2">
      <c r="A65" s="29">
        <v>43230</v>
      </c>
      <c r="B65" s="47" t="s">
        <v>972</v>
      </c>
      <c r="C65" s="46">
        <v>110</v>
      </c>
      <c r="D65" s="54"/>
    </row>
    <row r="66" spans="1:4" x14ac:dyDescent="0.2">
      <c r="A66" s="29">
        <v>43230</v>
      </c>
      <c r="B66" s="47" t="s">
        <v>973</v>
      </c>
      <c r="C66" s="46">
        <v>780</v>
      </c>
      <c r="D66" s="54"/>
    </row>
    <row r="67" spans="1:4" x14ac:dyDescent="0.2">
      <c r="A67" s="29">
        <v>43230</v>
      </c>
      <c r="B67" s="47" t="s">
        <v>974</v>
      </c>
      <c r="C67" s="46">
        <v>3240</v>
      </c>
      <c r="D67" s="54"/>
    </row>
    <row r="68" spans="1:4" x14ac:dyDescent="0.2">
      <c r="A68" s="29">
        <v>43230</v>
      </c>
      <c r="B68" s="47" t="s">
        <v>975</v>
      </c>
      <c r="C68" s="46">
        <v>297</v>
      </c>
      <c r="D68" s="54"/>
    </row>
    <row r="69" spans="1:4" x14ac:dyDescent="0.2">
      <c r="A69" s="1"/>
      <c r="B69" s="14"/>
      <c r="C69" s="15"/>
    </row>
    <row r="70" spans="1:4" x14ac:dyDescent="0.2">
      <c r="A70" s="1"/>
      <c r="B70" s="1"/>
      <c r="C70" s="1"/>
    </row>
    <row r="93" spans="1:3" x14ac:dyDescent="0.2">
      <c r="A93" s="1"/>
      <c r="B93" s="1"/>
      <c r="C93" s="1"/>
    </row>
    <row r="107" spans="1:5" x14ac:dyDescent="0.2">
      <c r="D107" s="17"/>
      <c r="E107" s="1"/>
    </row>
    <row r="108" spans="1:5" x14ac:dyDescent="0.2">
      <c r="A108" s="1"/>
      <c r="B108" s="1"/>
      <c r="C108" s="1"/>
      <c r="D108" s="17"/>
      <c r="E108" s="1"/>
    </row>
    <row r="109" spans="1:5" x14ac:dyDescent="0.2">
      <c r="D109" s="17"/>
      <c r="E109" s="1"/>
    </row>
    <row r="110" spans="1:5" x14ac:dyDescent="0.2">
      <c r="D110" s="17"/>
      <c r="E110" s="1"/>
    </row>
    <row r="115" spans="1:5" x14ac:dyDescent="0.2">
      <c r="D115" s="18"/>
      <c r="E115" s="1"/>
    </row>
    <row r="116" spans="1:5" x14ac:dyDescent="0.2">
      <c r="D116" s="18"/>
      <c r="E116" s="1"/>
    </row>
    <row r="117" spans="1:5" x14ac:dyDescent="0.2">
      <c r="D117" s="18"/>
      <c r="E117" s="1"/>
    </row>
    <row r="118" spans="1:5" x14ac:dyDescent="0.2">
      <c r="D118" s="18"/>
      <c r="E118" s="1"/>
    </row>
    <row r="119" spans="1:5" s="34" customFormat="1" x14ac:dyDescent="0.2">
      <c r="D119" s="17"/>
      <c r="E119" s="33"/>
    </row>
    <row r="120" spans="1:5" x14ac:dyDescent="0.2">
      <c r="A120" s="33"/>
      <c r="B120" s="33"/>
      <c r="C120" s="33"/>
      <c r="D120" s="17"/>
      <c r="E120" s="1"/>
    </row>
    <row r="121" spans="1:5" x14ac:dyDescent="0.2">
      <c r="A121" s="33"/>
      <c r="B121" s="33"/>
      <c r="C121" s="33"/>
      <c r="D121" s="17"/>
      <c r="E121" s="1"/>
    </row>
    <row r="122" spans="1:5" x14ac:dyDescent="0.2">
      <c r="A122" s="1"/>
      <c r="B122" s="1"/>
      <c r="C122" s="1"/>
      <c r="D122" s="17"/>
      <c r="E122" s="1"/>
    </row>
    <row r="123" spans="1:5" x14ac:dyDescent="0.2">
      <c r="E123" s="1"/>
    </row>
    <row r="124" spans="1:5" x14ac:dyDescent="0.2">
      <c r="E124" s="1"/>
    </row>
    <row r="125" spans="1:5" x14ac:dyDescent="0.2">
      <c r="E125" s="1"/>
    </row>
    <row r="126" spans="1:5" x14ac:dyDescent="0.2">
      <c r="E126" s="1"/>
    </row>
    <row r="127" spans="1:5" x14ac:dyDescent="0.2">
      <c r="E127" s="1"/>
    </row>
    <row r="128" spans="1:5" x14ac:dyDescent="0.2">
      <c r="E128" s="1"/>
    </row>
    <row r="129" spans="5:5" x14ac:dyDescent="0.2">
      <c r="E129" s="1"/>
    </row>
    <row r="130" spans="5:5" x14ac:dyDescent="0.2">
      <c r="E130" s="1"/>
    </row>
    <row r="131" spans="5:5" x14ac:dyDescent="0.2">
      <c r="E131" s="1"/>
    </row>
    <row r="132" spans="5:5" x14ac:dyDescent="0.2">
      <c r="E132" s="1"/>
    </row>
    <row r="133" spans="5:5" x14ac:dyDescent="0.2">
      <c r="E133" s="1"/>
    </row>
    <row r="134" spans="5:5" x14ac:dyDescent="0.2">
      <c r="E134" s="1"/>
    </row>
    <row r="135" spans="5:5" x14ac:dyDescent="0.2">
      <c r="E135" s="1"/>
    </row>
  </sheetData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01"/>
  <sheetViews>
    <sheetView topLeftCell="I1" workbookViewId="0">
      <selection activeCell="L9" sqref="L9"/>
    </sheetView>
  </sheetViews>
  <sheetFormatPr baseColWidth="10" defaultRowHeight="12" x14ac:dyDescent="0.2"/>
  <cols>
    <col min="1" max="1" width="10.5703125" style="2" bestFit="1" customWidth="1"/>
    <col min="2" max="2" width="18.42578125" style="2" customWidth="1"/>
    <col min="3" max="3" width="16.7109375" style="2" bestFit="1" customWidth="1"/>
    <col min="4" max="4" width="12.28515625" style="2" bestFit="1" customWidth="1"/>
    <col min="5" max="5" width="24" style="2" customWidth="1"/>
    <col min="6" max="6" width="17" style="2" bestFit="1" customWidth="1"/>
    <col min="7" max="7" width="10.5703125" style="2" bestFit="1" customWidth="1"/>
    <col min="8" max="8" width="11.42578125" style="2"/>
    <col min="9" max="9" width="16.28515625" style="2" bestFit="1" customWidth="1"/>
    <col min="10" max="10" width="10.5703125" style="2" bestFit="1" customWidth="1"/>
    <col min="11" max="11" width="19.42578125" style="2" customWidth="1"/>
    <col min="12" max="12" width="17" style="2" bestFit="1" customWidth="1"/>
    <col min="13" max="13" width="10.5703125" style="2" bestFit="1" customWidth="1"/>
    <col min="14" max="14" width="17.42578125" style="2" customWidth="1"/>
    <col min="15" max="15" width="15.7109375" style="2" bestFit="1" customWidth="1"/>
    <col min="16" max="16384" width="11.42578125" style="2"/>
  </cols>
  <sheetData>
    <row r="1" spans="1:16" x14ac:dyDescent="0.2">
      <c r="A1" s="1"/>
      <c r="B1" s="3" t="s">
        <v>0</v>
      </c>
      <c r="C1" s="3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1096</v>
      </c>
      <c r="N1" s="19" t="s">
        <v>1097</v>
      </c>
      <c r="O1" s="19" t="s">
        <v>1098</v>
      </c>
      <c r="P1" s="35" t="s">
        <v>1099</v>
      </c>
    </row>
    <row r="2" spans="1:16" x14ac:dyDescent="0.2">
      <c r="A2" s="4">
        <v>43374</v>
      </c>
      <c r="B2" s="5" t="s">
        <v>950</v>
      </c>
      <c r="C2" s="6">
        <v>16016.17</v>
      </c>
      <c r="D2" s="12">
        <v>43374</v>
      </c>
      <c r="E2" s="27" t="s">
        <v>921</v>
      </c>
      <c r="F2" s="6">
        <v>21595.618999999999</v>
      </c>
      <c r="G2" s="12">
        <v>43374</v>
      </c>
      <c r="H2" s="13" t="s">
        <v>916</v>
      </c>
      <c r="I2" s="6">
        <v>10564.46</v>
      </c>
      <c r="J2" s="16">
        <v>43374</v>
      </c>
      <c r="K2" s="13" t="s">
        <v>901</v>
      </c>
      <c r="L2" s="6">
        <v>11200.19</v>
      </c>
      <c r="M2" s="20" t="s">
        <v>1100</v>
      </c>
      <c r="N2" s="21" t="s">
        <v>4</v>
      </c>
      <c r="O2" s="22">
        <v>9900</v>
      </c>
      <c r="P2" s="23" t="s">
        <v>1101</v>
      </c>
    </row>
    <row r="3" spans="1:16" x14ac:dyDescent="0.2">
      <c r="A3" s="4">
        <v>43374</v>
      </c>
      <c r="B3" s="8" t="s">
        <v>951</v>
      </c>
      <c r="C3" s="9">
        <v>1382</v>
      </c>
      <c r="D3" s="12">
        <v>43374</v>
      </c>
      <c r="E3" s="11" t="s">
        <v>923</v>
      </c>
      <c r="F3" s="9">
        <v>800</v>
      </c>
      <c r="G3" s="7">
        <v>43378</v>
      </c>
      <c r="H3" s="8" t="s">
        <v>560</v>
      </c>
      <c r="I3" s="9">
        <v>573</v>
      </c>
      <c r="J3" s="7">
        <v>43378</v>
      </c>
      <c r="K3" s="11" t="s">
        <v>561</v>
      </c>
      <c r="L3" s="6">
        <v>573</v>
      </c>
      <c r="M3" s="20" t="s">
        <v>1102</v>
      </c>
      <c r="N3" s="21" t="s">
        <v>4</v>
      </c>
      <c r="O3" s="22">
        <v>11379.99</v>
      </c>
      <c r="P3" s="23" t="s">
        <v>5</v>
      </c>
    </row>
    <row r="4" spans="1:16" x14ac:dyDescent="0.2">
      <c r="A4" s="4">
        <v>43374</v>
      </c>
      <c r="B4" s="8" t="s">
        <v>952</v>
      </c>
      <c r="C4" s="9">
        <v>1000</v>
      </c>
      <c r="D4" s="12">
        <v>43378</v>
      </c>
      <c r="E4" s="13" t="s">
        <v>970</v>
      </c>
      <c r="F4" s="6">
        <v>4746</v>
      </c>
      <c r="G4" s="7">
        <v>43381</v>
      </c>
      <c r="H4" s="11" t="s">
        <v>1172</v>
      </c>
      <c r="I4" s="6">
        <v>10853.785</v>
      </c>
      <c r="J4" s="37">
        <v>43381</v>
      </c>
      <c r="K4" s="11" t="s">
        <v>1177</v>
      </c>
      <c r="L4" s="6">
        <v>10814.48</v>
      </c>
      <c r="M4" s="20" t="s">
        <v>1103</v>
      </c>
      <c r="N4" s="24" t="s">
        <v>8</v>
      </c>
      <c r="O4" s="22">
        <v>3500</v>
      </c>
      <c r="P4" s="23" t="s">
        <v>1104</v>
      </c>
    </row>
    <row r="5" spans="1:16" x14ac:dyDescent="0.2">
      <c r="A5" s="7">
        <v>43375</v>
      </c>
      <c r="B5" s="8" t="s">
        <v>790</v>
      </c>
      <c r="C5" s="9">
        <v>1000</v>
      </c>
      <c r="D5" s="12">
        <v>43378</v>
      </c>
      <c r="E5" s="8" t="s">
        <v>559</v>
      </c>
      <c r="F5" s="9">
        <v>523</v>
      </c>
      <c r="G5" s="7">
        <v>43388</v>
      </c>
      <c r="H5" s="11" t="s">
        <v>1173</v>
      </c>
      <c r="I5" s="9">
        <v>9384.89</v>
      </c>
      <c r="J5" s="37">
        <v>43388</v>
      </c>
      <c r="K5" s="11" t="s">
        <v>1178</v>
      </c>
      <c r="L5" s="6">
        <v>9814.4599999999991</v>
      </c>
      <c r="M5" s="20" t="s">
        <v>1105</v>
      </c>
      <c r="N5" s="24" t="s">
        <v>61</v>
      </c>
      <c r="O5" s="22">
        <v>3700.4</v>
      </c>
      <c r="P5" s="23" t="s">
        <v>1106</v>
      </c>
    </row>
    <row r="6" spans="1:16" x14ac:dyDescent="0.2">
      <c r="A6" s="7">
        <v>43375</v>
      </c>
      <c r="B6" s="8" t="s">
        <v>1181</v>
      </c>
      <c r="C6" s="9">
        <v>4000</v>
      </c>
      <c r="D6" s="12">
        <v>43378</v>
      </c>
      <c r="E6" s="11" t="s">
        <v>975</v>
      </c>
      <c r="F6" s="6">
        <v>297</v>
      </c>
      <c r="G6" s="7">
        <v>43395</v>
      </c>
      <c r="H6" s="11" t="s">
        <v>1174</v>
      </c>
      <c r="I6" s="9">
        <v>10811.92</v>
      </c>
      <c r="J6" s="37">
        <v>43395</v>
      </c>
      <c r="K6" s="11" t="s">
        <v>1179</v>
      </c>
      <c r="L6" s="6">
        <v>10243.040000000001</v>
      </c>
      <c r="M6" s="20" t="s">
        <v>1105</v>
      </c>
      <c r="N6" s="24" t="s">
        <v>20</v>
      </c>
      <c r="O6" s="22">
        <v>510</v>
      </c>
      <c r="P6" s="23" t="s">
        <v>1107</v>
      </c>
    </row>
    <row r="7" spans="1:16" x14ac:dyDescent="0.2">
      <c r="A7" s="7">
        <v>43378</v>
      </c>
      <c r="B7" s="8" t="s">
        <v>1182</v>
      </c>
      <c r="C7" s="9">
        <v>200</v>
      </c>
      <c r="D7" s="7">
        <v>43381</v>
      </c>
      <c r="E7" s="11" t="s">
        <v>1159</v>
      </c>
      <c r="F7" s="6">
        <v>20629.900000000001</v>
      </c>
      <c r="G7" s="37">
        <v>43402</v>
      </c>
      <c r="H7" s="13" t="s">
        <v>1175</v>
      </c>
      <c r="I7" s="6">
        <v>11150.5</v>
      </c>
      <c r="J7" s="28">
        <v>43402</v>
      </c>
      <c r="K7" s="13" t="s">
        <v>1180</v>
      </c>
      <c r="L7" s="6">
        <v>11100.5</v>
      </c>
      <c r="M7" s="20" t="s">
        <v>1105</v>
      </c>
      <c r="N7" s="21" t="s">
        <v>23</v>
      </c>
      <c r="O7" s="22">
        <v>2320</v>
      </c>
      <c r="P7" s="23" t="s">
        <v>1108</v>
      </c>
    </row>
    <row r="8" spans="1:16" x14ac:dyDescent="0.2">
      <c r="A8" s="7">
        <v>43381</v>
      </c>
      <c r="B8" s="8" t="s">
        <v>1183</v>
      </c>
      <c r="C8" s="9">
        <v>8951.8850000000002</v>
      </c>
      <c r="D8" s="7">
        <v>43385</v>
      </c>
      <c r="E8" s="8" t="s">
        <v>1160</v>
      </c>
      <c r="F8" s="9">
        <v>343</v>
      </c>
      <c r="G8" s="37">
        <v>43402</v>
      </c>
      <c r="H8" s="11" t="s">
        <v>1176</v>
      </c>
      <c r="I8" s="6">
        <v>2742.5</v>
      </c>
      <c r="J8" s="28" t="s">
        <v>1109</v>
      </c>
      <c r="K8" s="18" t="s">
        <v>1110</v>
      </c>
      <c r="L8" s="6">
        <v>12485</v>
      </c>
      <c r="M8" s="20" t="s">
        <v>1100</v>
      </c>
      <c r="N8" s="24" t="s">
        <v>13</v>
      </c>
      <c r="O8" s="22">
        <v>23200</v>
      </c>
      <c r="P8" s="23" t="s">
        <v>1111</v>
      </c>
    </row>
    <row r="9" spans="1:16" x14ac:dyDescent="0.2">
      <c r="A9" s="7">
        <v>43381</v>
      </c>
      <c r="B9" s="8" t="s">
        <v>1184</v>
      </c>
      <c r="C9" s="9">
        <v>7000</v>
      </c>
      <c r="D9" s="7">
        <v>43388</v>
      </c>
      <c r="E9" s="11" t="s">
        <v>1161</v>
      </c>
      <c r="F9" s="6">
        <v>24484.89</v>
      </c>
      <c r="G9" s="37" t="s">
        <v>1105</v>
      </c>
      <c r="H9" s="2" t="s">
        <v>1112</v>
      </c>
      <c r="I9" s="6">
        <v>1050</v>
      </c>
      <c r="J9" s="28" t="s">
        <v>1109</v>
      </c>
      <c r="K9" s="18" t="s">
        <v>1113</v>
      </c>
      <c r="L9" s="6">
        <v>1372</v>
      </c>
      <c r="M9" s="20" t="s">
        <v>1114</v>
      </c>
      <c r="N9" s="24" t="s">
        <v>8</v>
      </c>
      <c r="O9" s="22">
        <v>3500</v>
      </c>
      <c r="P9" s="23" t="s">
        <v>28</v>
      </c>
    </row>
    <row r="10" spans="1:16" x14ac:dyDescent="0.2">
      <c r="A10" s="7">
        <v>43381</v>
      </c>
      <c r="B10" s="8" t="s">
        <v>1185</v>
      </c>
      <c r="C10" s="9">
        <v>691</v>
      </c>
      <c r="D10" s="7">
        <v>43392</v>
      </c>
      <c r="E10" s="11" t="s">
        <v>1162</v>
      </c>
      <c r="F10" s="6">
        <v>2244.66</v>
      </c>
      <c r="G10" s="37" t="s">
        <v>1115</v>
      </c>
      <c r="H10" s="2" t="s">
        <v>1116</v>
      </c>
      <c r="I10" s="6">
        <v>1856</v>
      </c>
      <c r="J10" s="28" t="s">
        <v>1117</v>
      </c>
      <c r="K10" s="18" t="s">
        <v>1118</v>
      </c>
      <c r="L10" s="6">
        <v>54973.67</v>
      </c>
      <c r="M10" s="20" t="s">
        <v>1114</v>
      </c>
      <c r="N10" s="24" t="s">
        <v>163</v>
      </c>
      <c r="O10" s="22">
        <v>65.150000000000006</v>
      </c>
      <c r="P10" s="23" t="s">
        <v>12</v>
      </c>
    </row>
    <row r="11" spans="1:16" x14ac:dyDescent="0.2">
      <c r="A11" s="7">
        <v>43381</v>
      </c>
      <c r="B11" s="8" t="s">
        <v>1186</v>
      </c>
      <c r="C11" s="9">
        <v>1382</v>
      </c>
      <c r="D11" s="7">
        <v>43395</v>
      </c>
      <c r="E11" s="11" t="s">
        <v>1163</v>
      </c>
      <c r="F11" s="6">
        <v>21667.98</v>
      </c>
      <c r="G11" s="37" t="s">
        <v>1100</v>
      </c>
      <c r="H11" s="2" t="s">
        <v>1119</v>
      </c>
      <c r="I11" s="6">
        <v>658</v>
      </c>
      <c r="J11" s="28" t="s">
        <v>1120</v>
      </c>
      <c r="K11" s="18" t="s">
        <v>1121</v>
      </c>
      <c r="L11" s="6">
        <v>3475.96</v>
      </c>
      <c r="M11" s="20" t="s">
        <v>1117</v>
      </c>
      <c r="N11" s="23" t="s">
        <v>8</v>
      </c>
      <c r="O11" s="22">
        <v>3500</v>
      </c>
      <c r="P11" s="23" t="s">
        <v>1122</v>
      </c>
    </row>
    <row r="12" spans="1:16" x14ac:dyDescent="0.2">
      <c r="A12" s="7">
        <v>43381</v>
      </c>
      <c r="B12" s="8" t="s">
        <v>1187</v>
      </c>
      <c r="C12" s="9">
        <v>857</v>
      </c>
      <c r="D12" s="7">
        <v>43395</v>
      </c>
      <c r="E12" s="11" t="s">
        <v>1164</v>
      </c>
      <c r="F12" s="6">
        <v>1368</v>
      </c>
      <c r="G12" s="37" t="s">
        <v>1109</v>
      </c>
      <c r="H12" s="2" t="s">
        <v>1123</v>
      </c>
      <c r="I12" s="6">
        <v>113</v>
      </c>
      <c r="J12" s="28" t="s">
        <v>1124</v>
      </c>
      <c r="K12" s="18" t="s">
        <v>1125</v>
      </c>
      <c r="L12" s="6">
        <v>1508</v>
      </c>
      <c r="M12" s="20" t="s">
        <v>1120</v>
      </c>
      <c r="N12" s="21" t="s">
        <v>59</v>
      </c>
      <c r="O12" s="22">
        <v>6666</v>
      </c>
      <c r="P12" s="23" t="s">
        <v>1126</v>
      </c>
    </row>
    <row r="13" spans="1:16" x14ac:dyDescent="0.2">
      <c r="A13" s="7">
        <v>43385</v>
      </c>
      <c r="B13" s="8" t="s">
        <v>1188</v>
      </c>
      <c r="C13" s="9">
        <v>2000</v>
      </c>
      <c r="D13" s="7">
        <v>43395</v>
      </c>
      <c r="E13" s="11" t="s">
        <v>1165</v>
      </c>
      <c r="F13" s="6">
        <v>343</v>
      </c>
      <c r="G13" s="37" t="s">
        <v>1120</v>
      </c>
      <c r="H13" s="2" t="s">
        <v>1127</v>
      </c>
      <c r="I13" s="6">
        <v>2088</v>
      </c>
      <c r="J13" s="28" t="s">
        <v>1128</v>
      </c>
      <c r="K13" s="18" t="s">
        <v>73</v>
      </c>
      <c r="L13" s="6">
        <v>589</v>
      </c>
      <c r="M13" s="20" t="s">
        <v>1120</v>
      </c>
      <c r="N13" s="21" t="s">
        <v>369</v>
      </c>
      <c r="O13" s="22">
        <v>2256.1999999999998</v>
      </c>
      <c r="P13" s="23" t="s">
        <v>1129</v>
      </c>
    </row>
    <row r="14" spans="1:16" x14ac:dyDescent="0.2">
      <c r="A14" s="29">
        <v>43385</v>
      </c>
      <c r="B14" s="30" t="s">
        <v>1189</v>
      </c>
      <c r="C14" s="31">
        <v>482.4</v>
      </c>
      <c r="D14" s="7">
        <v>43399</v>
      </c>
      <c r="E14" s="11" t="s">
        <v>1166</v>
      </c>
      <c r="F14" s="6">
        <v>939</v>
      </c>
      <c r="G14" s="37" t="s">
        <v>1130</v>
      </c>
      <c r="H14" s="2" t="s">
        <v>1131</v>
      </c>
      <c r="I14" s="6">
        <v>2900</v>
      </c>
      <c r="J14" s="1"/>
      <c r="K14" s="14" t="s">
        <v>1132</v>
      </c>
      <c r="L14" s="15">
        <f>SUM(L2:L13)</f>
        <v>128149.3</v>
      </c>
      <c r="M14" s="20" t="s">
        <v>1120</v>
      </c>
      <c r="N14" s="23" t="s">
        <v>17</v>
      </c>
      <c r="O14" s="22">
        <v>11303.91</v>
      </c>
      <c r="P14" s="23" t="s">
        <v>1133</v>
      </c>
    </row>
    <row r="15" spans="1:16" x14ac:dyDescent="0.2">
      <c r="A15" s="7">
        <v>43388</v>
      </c>
      <c r="B15" s="8" t="s">
        <v>1190</v>
      </c>
      <c r="C15" s="9">
        <v>9594.755000000001</v>
      </c>
      <c r="D15" s="7">
        <v>43402</v>
      </c>
      <c r="E15" s="11" t="s">
        <v>1167</v>
      </c>
      <c r="F15" s="6">
        <v>21535.977000000003</v>
      </c>
      <c r="G15" s="37" t="s">
        <v>1102</v>
      </c>
      <c r="H15" s="2" t="s">
        <v>207</v>
      </c>
      <c r="I15" s="6">
        <v>113</v>
      </c>
      <c r="M15" s="20" t="s">
        <v>1134</v>
      </c>
      <c r="N15" s="23" t="s">
        <v>8</v>
      </c>
      <c r="O15" s="22">
        <v>3500</v>
      </c>
      <c r="P15" s="23" t="s">
        <v>28</v>
      </c>
    </row>
    <row r="16" spans="1:16" x14ac:dyDescent="0.2">
      <c r="A16" s="7">
        <v>43388</v>
      </c>
      <c r="B16" s="8" t="s">
        <v>1191</v>
      </c>
      <c r="C16" s="9">
        <v>7000</v>
      </c>
      <c r="D16" s="7">
        <v>43402</v>
      </c>
      <c r="E16" s="11" t="s">
        <v>1168</v>
      </c>
      <c r="F16" s="6">
        <v>1650</v>
      </c>
      <c r="G16" s="1"/>
      <c r="H16" s="14" t="s">
        <v>1132</v>
      </c>
      <c r="I16" s="15">
        <f>SUM(I2:I15)</f>
        <v>64859.055</v>
      </c>
      <c r="M16" s="20" t="s">
        <v>1130</v>
      </c>
      <c r="N16" s="23" t="s">
        <v>1135</v>
      </c>
      <c r="O16" s="22">
        <v>3636.6</v>
      </c>
      <c r="P16" s="23" t="s">
        <v>1136</v>
      </c>
    </row>
    <row r="17" spans="1:16" x14ac:dyDescent="0.2">
      <c r="A17" s="7">
        <v>43388</v>
      </c>
      <c r="B17" s="8" t="s">
        <v>1192</v>
      </c>
      <c r="C17" s="9">
        <v>1382</v>
      </c>
      <c r="D17" s="7">
        <v>43381</v>
      </c>
      <c r="E17" s="11" t="s">
        <v>1169</v>
      </c>
      <c r="F17" s="46">
        <v>143</v>
      </c>
      <c r="M17" s="20" t="s">
        <v>1134</v>
      </c>
      <c r="N17" s="23" t="s">
        <v>1135</v>
      </c>
      <c r="O17" s="22">
        <v>295.8</v>
      </c>
      <c r="P17" s="23" t="s">
        <v>1137</v>
      </c>
    </row>
    <row r="18" spans="1:16" x14ac:dyDescent="0.2">
      <c r="A18" s="7">
        <v>43388</v>
      </c>
      <c r="B18" s="8" t="s">
        <v>1193</v>
      </c>
      <c r="C18" s="9">
        <v>1143</v>
      </c>
      <c r="D18" s="7">
        <v>43402</v>
      </c>
      <c r="E18" s="11" t="s">
        <v>1170</v>
      </c>
      <c r="F18" s="46">
        <v>142</v>
      </c>
      <c r="M18" s="20" t="s">
        <v>1124</v>
      </c>
      <c r="N18" s="23" t="s">
        <v>378</v>
      </c>
      <c r="O18" s="22">
        <v>5600</v>
      </c>
      <c r="P18" s="23" t="s">
        <v>1138</v>
      </c>
    </row>
    <row r="19" spans="1:16" x14ac:dyDescent="0.2">
      <c r="A19" s="7">
        <v>43388</v>
      </c>
      <c r="B19" s="8" t="s">
        <v>1194</v>
      </c>
      <c r="C19" s="9">
        <v>1598</v>
      </c>
      <c r="D19" s="7">
        <v>43404</v>
      </c>
      <c r="E19" s="11" t="s">
        <v>1171</v>
      </c>
      <c r="F19" s="46">
        <v>245</v>
      </c>
      <c r="M19" s="20" t="s">
        <v>1128</v>
      </c>
      <c r="N19" s="23" t="s">
        <v>18</v>
      </c>
      <c r="O19" s="22">
        <v>39601</v>
      </c>
      <c r="P19" s="23" t="s">
        <v>1139</v>
      </c>
    </row>
    <row r="20" spans="1:16" x14ac:dyDescent="0.2">
      <c r="A20" s="7">
        <v>43395</v>
      </c>
      <c r="B20" s="8" t="s">
        <v>1195</v>
      </c>
      <c r="C20" s="9">
        <v>8861.1650000000009</v>
      </c>
      <c r="D20" s="7" t="s">
        <v>1105</v>
      </c>
      <c r="E20" s="36" t="s">
        <v>1140</v>
      </c>
      <c r="F20" s="6">
        <v>930</v>
      </c>
      <c r="M20" s="20" t="s">
        <v>1128</v>
      </c>
      <c r="N20" s="23" t="s">
        <v>465</v>
      </c>
      <c r="O20" s="22">
        <v>10440</v>
      </c>
      <c r="P20" s="23" t="s">
        <v>1141</v>
      </c>
    </row>
    <row r="21" spans="1:16" x14ac:dyDescent="0.2">
      <c r="A21" s="7">
        <v>43395</v>
      </c>
      <c r="B21" s="8" t="s">
        <v>1196</v>
      </c>
      <c r="C21" s="9">
        <v>7000</v>
      </c>
      <c r="D21" s="7" t="s">
        <v>1109</v>
      </c>
      <c r="E21" s="36" t="s">
        <v>1142</v>
      </c>
      <c r="F21" s="6">
        <v>3700.4</v>
      </c>
      <c r="M21" s="20" t="s">
        <v>1124</v>
      </c>
      <c r="N21" s="23" t="s">
        <v>22</v>
      </c>
      <c r="O21" s="22">
        <v>11484</v>
      </c>
      <c r="P21" s="23" t="s">
        <v>1143</v>
      </c>
    </row>
    <row r="22" spans="1:16" x14ac:dyDescent="0.2">
      <c r="A22" s="7">
        <v>43395</v>
      </c>
      <c r="B22" s="8" t="s">
        <v>1197</v>
      </c>
      <c r="C22" s="9">
        <v>1382</v>
      </c>
      <c r="D22" s="7" t="s">
        <v>1109</v>
      </c>
      <c r="E22" s="36" t="s">
        <v>1144</v>
      </c>
      <c r="F22" s="6">
        <v>2215</v>
      </c>
      <c r="M22" s="20" t="s">
        <v>1102</v>
      </c>
      <c r="N22" s="23" t="s">
        <v>1145</v>
      </c>
      <c r="O22" s="22">
        <v>3965</v>
      </c>
      <c r="P22" s="23" t="s">
        <v>1146</v>
      </c>
    </row>
    <row r="23" spans="1:16" x14ac:dyDescent="0.2">
      <c r="A23" s="7">
        <v>43395</v>
      </c>
      <c r="B23" s="11" t="s">
        <v>1198</v>
      </c>
      <c r="C23" s="6">
        <v>1000</v>
      </c>
      <c r="D23" s="7" t="s">
        <v>1120</v>
      </c>
      <c r="E23" s="36" t="s">
        <v>1147</v>
      </c>
      <c r="F23" s="6">
        <v>3700.4</v>
      </c>
      <c r="M23" s="20" t="s">
        <v>1102</v>
      </c>
      <c r="N23" s="23" t="s">
        <v>20</v>
      </c>
      <c r="O23" s="22">
        <v>510</v>
      </c>
      <c r="P23" s="23" t="s">
        <v>1148</v>
      </c>
    </row>
    <row r="24" spans="1:16" x14ac:dyDescent="0.2">
      <c r="A24" s="7">
        <v>43397</v>
      </c>
      <c r="B24" s="11" t="s">
        <v>1199</v>
      </c>
      <c r="C24" s="6">
        <v>9.5</v>
      </c>
      <c r="D24" s="7" t="s">
        <v>1124</v>
      </c>
      <c r="E24" s="36" t="s">
        <v>1149</v>
      </c>
      <c r="F24" s="6">
        <v>3700.4</v>
      </c>
      <c r="M24" s="20" t="s">
        <v>1102</v>
      </c>
      <c r="N24" s="23" t="s">
        <v>20</v>
      </c>
      <c r="O24" s="22">
        <v>510</v>
      </c>
      <c r="P24" s="23" t="s">
        <v>1150</v>
      </c>
    </row>
    <row r="25" spans="1:16" x14ac:dyDescent="0.2">
      <c r="A25" s="7">
        <v>43399</v>
      </c>
      <c r="B25" s="11" t="s">
        <v>1200</v>
      </c>
      <c r="C25" s="6">
        <v>200</v>
      </c>
      <c r="D25" s="7" t="s">
        <v>1102</v>
      </c>
      <c r="E25" s="36" t="s">
        <v>1151</v>
      </c>
      <c r="F25" s="6">
        <v>3700.4</v>
      </c>
      <c r="M25" s="20" t="s">
        <v>1102</v>
      </c>
      <c r="N25" s="23" t="s">
        <v>10</v>
      </c>
      <c r="O25" s="22">
        <v>2204</v>
      </c>
      <c r="P25" s="23" t="s">
        <v>1152</v>
      </c>
    </row>
    <row r="26" spans="1:16" x14ac:dyDescent="0.2">
      <c r="A26" s="7">
        <v>43399</v>
      </c>
      <c r="B26" s="11" t="s">
        <v>1201</v>
      </c>
      <c r="C26" s="6">
        <v>600</v>
      </c>
      <c r="D26" s="1"/>
      <c r="E26" s="14" t="s">
        <v>1132</v>
      </c>
      <c r="F26" s="15">
        <f>SUM(F2:F25)</f>
        <v>141644.62599999999</v>
      </c>
      <c r="M26" s="20" t="s">
        <v>1102</v>
      </c>
      <c r="N26" s="23" t="s">
        <v>23</v>
      </c>
      <c r="O26" s="22">
        <v>2320</v>
      </c>
      <c r="P26" s="23" t="s">
        <v>1153</v>
      </c>
    </row>
    <row r="27" spans="1:16" x14ac:dyDescent="0.2">
      <c r="A27" s="7">
        <v>43402</v>
      </c>
      <c r="B27" s="11" t="s">
        <v>1202</v>
      </c>
      <c r="C27" s="6">
        <v>8666.5300000000007</v>
      </c>
      <c r="D27" s="36"/>
      <c r="M27" s="20" t="s">
        <v>1154</v>
      </c>
      <c r="N27" s="23" t="s">
        <v>8</v>
      </c>
      <c r="O27" s="22">
        <v>3500</v>
      </c>
      <c r="P27" s="23" t="s">
        <v>1155</v>
      </c>
    </row>
    <row r="28" spans="1:16" x14ac:dyDescent="0.2">
      <c r="A28" s="7">
        <v>43402</v>
      </c>
      <c r="B28" s="11" t="s">
        <v>1203</v>
      </c>
      <c r="C28" s="6">
        <v>7000</v>
      </c>
      <c r="D28" s="36"/>
      <c r="M28" s="20" t="s">
        <v>1102</v>
      </c>
      <c r="N28" s="23" t="s">
        <v>466</v>
      </c>
      <c r="O28" s="22">
        <v>4408</v>
      </c>
      <c r="P28" s="23" t="s">
        <v>1156</v>
      </c>
    </row>
    <row r="29" spans="1:16" x14ac:dyDescent="0.2">
      <c r="A29" s="7">
        <v>43402</v>
      </c>
      <c r="B29" s="11" t="s">
        <v>1204</v>
      </c>
      <c r="C29" s="6">
        <v>1382</v>
      </c>
      <c r="D29" s="36"/>
      <c r="M29" s="20" t="s">
        <v>1102</v>
      </c>
      <c r="N29" s="23" t="s">
        <v>122</v>
      </c>
      <c r="O29" s="22">
        <v>458.52</v>
      </c>
      <c r="P29" s="23" t="s">
        <v>1157</v>
      </c>
    </row>
    <row r="30" spans="1:16" x14ac:dyDescent="0.2">
      <c r="A30" s="7">
        <v>43402</v>
      </c>
      <c r="B30" s="11" t="s">
        <v>1205</v>
      </c>
      <c r="C30" s="6">
        <v>1000</v>
      </c>
      <c r="D30" s="36"/>
      <c r="M30" s="1"/>
      <c r="N30" s="25" t="s">
        <v>1158</v>
      </c>
      <c r="O30" s="26">
        <f>SUM(O2:O29)</f>
        <v>174234.57</v>
      </c>
    </row>
    <row r="31" spans="1:16" x14ac:dyDescent="0.2">
      <c r="A31" s="7">
        <v>43403</v>
      </c>
      <c r="B31" s="27" t="s">
        <v>790</v>
      </c>
      <c r="C31" s="6">
        <v>1000</v>
      </c>
      <c r="D31" s="36"/>
    </row>
    <row r="32" spans="1:16" x14ac:dyDescent="0.2">
      <c r="A32" s="1"/>
      <c r="B32" s="14" t="s">
        <v>1132</v>
      </c>
      <c r="C32" s="15">
        <f>SUM(C2:C31)</f>
        <v>103781.405</v>
      </c>
    </row>
    <row r="49" spans="4:4" x14ac:dyDescent="0.2">
      <c r="D49" s="32"/>
    </row>
    <row r="50" spans="4:4" x14ac:dyDescent="0.2">
      <c r="D50" s="32"/>
    </row>
    <row r="51" spans="4:4" x14ac:dyDescent="0.2">
      <c r="D51" s="32"/>
    </row>
    <row r="74" spans="4:5" x14ac:dyDescent="0.2">
      <c r="D74" s="17"/>
      <c r="E74" s="1"/>
    </row>
    <row r="75" spans="4:5" x14ac:dyDescent="0.2">
      <c r="D75" s="17"/>
      <c r="E75" s="1"/>
    </row>
    <row r="76" spans="4:5" x14ac:dyDescent="0.2">
      <c r="D76" s="17"/>
      <c r="E76" s="1"/>
    </row>
    <row r="81" spans="4:5" x14ac:dyDescent="0.2">
      <c r="D81" s="18"/>
      <c r="E81" s="1"/>
    </row>
    <row r="82" spans="4:5" x14ac:dyDescent="0.2">
      <c r="E82" s="1"/>
    </row>
    <row r="83" spans="4:5" x14ac:dyDescent="0.2">
      <c r="E83" s="1"/>
    </row>
    <row r="84" spans="4:5" x14ac:dyDescent="0.2">
      <c r="E84" s="1"/>
    </row>
    <row r="85" spans="4:5" x14ac:dyDescent="0.2">
      <c r="E85" s="1"/>
    </row>
    <row r="86" spans="4:5" x14ac:dyDescent="0.2">
      <c r="E86" s="1"/>
    </row>
    <row r="87" spans="4:5" x14ac:dyDescent="0.2">
      <c r="E87" s="1"/>
    </row>
    <row r="88" spans="4:5" s="34" customFormat="1" x14ac:dyDescent="0.2">
      <c r="D88" s="17"/>
      <c r="E88" s="33"/>
    </row>
    <row r="89" spans="4:5" x14ac:dyDescent="0.2">
      <c r="E89" s="1"/>
    </row>
    <row r="90" spans="4:5" x14ac:dyDescent="0.2">
      <c r="E90" s="1"/>
    </row>
    <row r="91" spans="4:5" x14ac:dyDescent="0.2">
      <c r="E91" s="1"/>
    </row>
    <row r="92" spans="4:5" x14ac:dyDescent="0.2">
      <c r="E92" s="1"/>
    </row>
    <row r="93" spans="4:5" x14ac:dyDescent="0.2">
      <c r="E93" s="1"/>
    </row>
    <row r="94" spans="4:5" x14ac:dyDescent="0.2">
      <c r="E94" s="1"/>
    </row>
    <row r="95" spans="4:5" x14ac:dyDescent="0.2">
      <c r="E95" s="1"/>
    </row>
    <row r="96" spans="4:5" x14ac:dyDescent="0.2">
      <c r="E96" s="1"/>
    </row>
    <row r="97" spans="5:5" x14ac:dyDescent="0.2">
      <c r="E97" s="1"/>
    </row>
    <row r="98" spans="5:5" x14ac:dyDescent="0.2">
      <c r="E98" s="1"/>
    </row>
    <row r="99" spans="5:5" x14ac:dyDescent="0.2">
      <c r="E99" s="1"/>
    </row>
    <row r="100" spans="5:5" x14ac:dyDescent="0.2">
      <c r="E100" s="1"/>
    </row>
    <row r="101" spans="5:5" x14ac:dyDescent="0.2">
      <c r="E10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7"/>
  <sheetViews>
    <sheetView tabSelected="1" topLeftCell="I1" workbookViewId="0">
      <selection activeCell="J14" sqref="J14"/>
    </sheetView>
  </sheetViews>
  <sheetFormatPr baseColWidth="10" defaultRowHeight="15" x14ac:dyDescent="0.25"/>
  <cols>
    <col min="6" max="7" width="15.7109375" bestFit="1" customWidth="1"/>
    <col min="12" max="12" width="12" bestFit="1" customWidth="1"/>
  </cols>
  <sheetData>
    <row r="1" spans="1:18" x14ac:dyDescent="0.25">
      <c r="A1" s="1"/>
      <c r="B1" s="3" t="s">
        <v>0</v>
      </c>
      <c r="C1" s="3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1096</v>
      </c>
      <c r="N1" s="19" t="s">
        <v>1097</v>
      </c>
      <c r="O1" s="19" t="s">
        <v>1098</v>
      </c>
      <c r="P1" s="19"/>
      <c r="Q1" s="19"/>
      <c r="R1" s="35" t="s">
        <v>1099</v>
      </c>
    </row>
    <row r="2" spans="1:18" ht="14.25" customHeight="1" x14ac:dyDescent="0.25">
      <c r="A2" s="4">
        <v>43406</v>
      </c>
      <c r="B2" s="61" t="s">
        <v>1224</v>
      </c>
      <c r="C2" s="6">
        <v>200</v>
      </c>
      <c r="D2" s="12">
        <v>43406</v>
      </c>
      <c r="E2" s="27" t="s">
        <v>559</v>
      </c>
      <c r="F2" s="6">
        <v>573</v>
      </c>
      <c r="G2" s="12">
        <v>43406</v>
      </c>
      <c r="H2" s="13" t="s">
        <v>1262</v>
      </c>
      <c r="I2" s="6">
        <v>851</v>
      </c>
      <c r="J2" s="16">
        <v>43406</v>
      </c>
      <c r="K2" s="13" t="s">
        <v>561</v>
      </c>
      <c r="L2" s="6">
        <v>641</v>
      </c>
      <c r="M2" s="20" t="s">
        <v>1206</v>
      </c>
      <c r="N2" s="21" t="s">
        <v>4</v>
      </c>
      <c r="O2" s="22">
        <v>10230</v>
      </c>
      <c r="P2" s="22" t="s">
        <v>1291</v>
      </c>
      <c r="Q2" s="22"/>
      <c r="R2" s="23" t="s">
        <v>1274</v>
      </c>
    </row>
    <row r="3" spans="1:18" x14ac:dyDescent="0.25">
      <c r="A3" s="4">
        <v>43409</v>
      </c>
      <c r="B3" s="8" t="s">
        <v>1225</v>
      </c>
      <c r="C3" s="9">
        <v>8816.1650000000009</v>
      </c>
      <c r="D3" s="12">
        <v>43409</v>
      </c>
      <c r="E3" s="11" t="s">
        <v>1249</v>
      </c>
      <c r="F3" s="9">
        <v>22335.987000000001</v>
      </c>
      <c r="G3" s="7">
        <v>43406</v>
      </c>
      <c r="H3" s="8" t="s">
        <v>560</v>
      </c>
      <c r="I3" s="9">
        <v>473</v>
      </c>
      <c r="J3" s="7">
        <v>43409</v>
      </c>
      <c r="K3" s="11" t="s">
        <v>1268</v>
      </c>
      <c r="L3" s="6">
        <v>11457.35</v>
      </c>
      <c r="M3" s="20">
        <v>43434</v>
      </c>
      <c r="N3" s="21" t="s">
        <v>4</v>
      </c>
      <c r="O3" s="22">
        <v>12118.999999999995</v>
      </c>
      <c r="P3" s="22" t="s">
        <v>1292</v>
      </c>
      <c r="Q3" s="22">
        <f>O3*0.6</f>
        <v>7271.3999999999969</v>
      </c>
      <c r="R3" s="23" t="s">
        <v>5</v>
      </c>
    </row>
    <row r="4" spans="1:18" x14ac:dyDescent="0.25">
      <c r="A4" s="4">
        <v>43409</v>
      </c>
      <c r="B4" s="8" t="s">
        <v>1226</v>
      </c>
      <c r="C4" s="9">
        <v>1382</v>
      </c>
      <c r="D4" s="12">
        <v>43409</v>
      </c>
      <c r="E4" s="13" t="s">
        <v>1250</v>
      </c>
      <c r="F4" s="6">
        <v>800</v>
      </c>
      <c r="G4" s="7">
        <v>43409</v>
      </c>
      <c r="H4" s="11" t="s">
        <v>1263</v>
      </c>
      <c r="I4" s="6">
        <v>10050.5</v>
      </c>
      <c r="J4" s="37">
        <v>43416</v>
      </c>
      <c r="K4" s="11" t="s">
        <v>1269</v>
      </c>
      <c r="L4" s="6">
        <v>11485.920000000002</v>
      </c>
      <c r="M4" s="20" t="s">
        <v>1206</v>
      </c>
      <c r="N4" s="24" t="s">
        <v>13</v>
      </c>
      <c r="O4" s="22">
        <v>23200</v>
      </c>
      <c r="P4" s="22" t="s">
        <v>1291</v>
      </c>
      <c r="Q4" s="22"/>
      <c r="R4" s="23" t="s">
        <v>1275</v>
      </c>
    </row>
    <row r="5" spans="1:18" x14ac:dyDescent="0.25">
      <c r="A5" s="4">
        <v>43409</v>
      </c>
      <c r="B5" s="8" t="s">
        <v>1227</v>
      </c>
      <c r="C5" s="9">
        <v>1000</v>
      </c>
      <c r="D5" s="12">
        <v>43413</v>
      </c>
      <c r="E5" s="8" t="s">
        <v>1251</v>
      </c>
      <c r="F5" s="9">
        <v>5316</v>
      </c>
      <c r="G5" s="7">
        <v>43416</v>
      </c>
      <c r="H5" s="11" t="s">
        <v>1264</v>
      </c>
      <c r="I5" s="9">
        <v>11278.77</v>
      </c>
      <c r="J5" s="37">
        <v>43423</v>
      </c>
      <c r="K5" s="11" t="s">
        <v>1270</v>
      </c>
      <c r="L5" s="6">
        <v>10800.2</v>
      </c>
      <c r="M5" s="20" t="s">
        <v>1207</v>
      </c>
      <c r="N5" s="24" t="s">
        <v>8</v>
      </c>
      <c r="O5" s="22">
        <v>3500</v>
      </c>
      <c r="P5" s="22" t="s">
        <v>1291</v>
      </c>
      <c r="Q5" s="22"/>
      <c r="R5" s="23" t="s">
        <v>96</v>
      </c>
    </row>
    <row r="6" spans="1:18" x14ac:dyDescent="0.25">
      <c r="A6" s="4">
        <v>43409</v>
      </c>
      <c r="B6" s="8" t="s">
        <v>1228</v>
      </c>
      <c r="C6" s="9">
        <v>4000</v>
      </c>
      <c r="D6" s="12">
        <v>43416</v>
      </c>
      <c r="E6" s="11" t="s">
        <v>1252</v>
      </c>
      <c r="F6" s="6">
        <v>20871.687000000002</v>
      </c>
      <c r="G6" s="7">
        <v>43423</v>
      </c>
      <c r="H6" s="11" t="s">
        <v>1265</v>
      </c>
      <c r="I6" s="9">
        <v>9593.0300000000007</v>
      </c>
      <c r="J6" s="37">
        <v>43427</v>
      </c>
      <c r="K6" s="11" t="s">
        <v>1271</v>
      </c>
      <c r="L6" s="6">
        <v>785</v>
      </c>
      <c r="M6" s="20" t="s">
        <v>1208</v>
      </c>
      <c r="N6" s="24" t="s">
        <v>20</v>
      </c>
      <c r="O6" s="22">
        <v>510</v>
      </c>
      <c r="P6" s="22" t="s">
        <v>1291</v>
      </c>
      <c r="Q6" s="22"/>
      <c r="R6" s="23" t="s">
        <v>1276</v>
      </c>
    </row>
    <row r="7" spans="1:18" x14ac:dyDescent="0.25">
      <c r="A7" s="7">
        <v>43416</v>
      </c>
      <c r="B7" s="8" t="s">
        <v>1229</v>
      </c>
      <c r="C7" s="9">
        <v>9304.7350000000006</v>
      </c>
      <c r="D7" s="7">
        <v>43419</v>
      </c>
      <c r="E7" s="11" t="s">
        <v>1253</v>
      </c>
      <c r="F7" s="6">
        <v>5000</v>
      </c>
      <c r="G7" s="37">
        <v>43427</v>
      </c>
      <c r="H7" s="13" t="s">
        <v>1266</v>
      </c>
      <c r="I7" s="6">
        <v>867</v>
      </c>
      <c r="J7" s="28">
        <v>43430</v>
      </c>
      <c r="K7" s="13" t="s">
        <v>1272</v>
      </c>
      <c r="L7" s="6">
        <v>10528.74</v>
      </c>
      <c r="M7" s="20" t="s">
        <v>1208</v>
      </c>
      <c r="N7" s="21" t="s">
        <v>465</v>
      </c>
      <c r="O7" s="22">
        <v>7830</v>
      </c>
      <c r="P7" s="22" t="s">
        <v>1291</v>
      </c>
      <c r="Q7" s="22"/>
      <c r="R7" s="23" t="s">
        <v>1277</v>
      </c>
    </row>
    <row r="8" spans="1:18" x14ac:dyDescent="0.25">
      <c r="A8" s="7">
        <v>43416</v>
      </c>
      <c r="B8" s="8" t="s">
        <v>1230</v>
      </c>
      <c r="C8" s="9">
        <v>1382</v>
      </c>
      <c r="D8" s="7">
        <v>43420</v>
      </c>
      <c r="E8" s="8" t="s">
        <v>1254</v>
      </c>
      <c r="F8" s="9">
        <v>1669</v>
      </c>
      <c r="G8" s="37">
        <v>43430</v>
      </c>
      <c r="H8" s="11" t="s">
        <v>1267</v>
      </c>
      <c r="I8" s="6">
        <v>11614.45</v>
      </c>
      <c r="J8" s="28" t="s">
        <v>1208</v>
      </c>
      <c r="K8" s="13" t="s">
        <v>1209</v>
      </c>
      <c r="L8" s="6">
        <v>10325</v>
      </c>
      <c r="M8" s="20" t="s">
        <v>1210</v>
      </c>
      <c r="N8" s="24" t="s">
        <v>8</v>
      </c>
      <c r="O8" s="22">
        <v>3500</v>
      </c>
      <c r="P8" s="22" t="s">
        <v>1291</v>
      </c>
      <c r="Q8" s="22"/>
      <c r="R8" s="23" t="s">
        <v>96</v>
      </c>
    </row>
    <row r="9" spans="1:18" x14ac:dyDescent="0.25">
      <c r="A9" s="7">
        <v>43416</v>
      </c>
      <c r="B9" s="8" t="s">
        <v>1231</v>
      </c>
      <c r="C9" s="9">
        <v>857.14</v>
      </c>
      <c r="D9" s="7">
        <v>43423</v>
      </c>
      <c r="E9" s="11" t="s">
        <v>1255</v>
      </c>
      <c r="F9" s="6">
        <v>24343.16</v>
      </c>
      <c r="G9" s="37" t="s">
        <v>1208</v>
      </c>
      <c r="H9" s="11" t="s">
        <v>9</v>
      </c>
      <c r="I9" s="6">
        <v>658</v>
      </c>
      <c r="J9" s="28" t="s">
        <v>1211</v>
      </c>
      <c r="K9" s="13" t="s">
        <v>14</v>
      </c>
      <c r="L9" s="6">
        <v>54974</v>
      </c>
      <c r="M9" s="20" t="s">
        <v>1210</v>
      </c>
      <c r="N9" s="24" t="s">
        <v>15</v>
      </c>
      <c r="O9" s="22">
        <v>1626</v>
      </c>
      <c r="P9" s="22" t="s">
        <v>1293</v>
      </c>
      <c r="Q9" s="22">
        <f>O9*0.5</f>
        <v>813</v>
      </c>
      <c r="R9" s="23" t="s">
        <v>1278</v>
      </c>
    </row>
    <row r="10" spans="1:18" x14ac:dyDescent="0.25">
      <c r="A10" s="7">
        <v>43416</v>
      </c>
      <c r="B10" s="8" t="s">
        <v>1232</v>
      </c>
      <c r="C10" s="9">
        <v>1071.5</v>
      </c>
      <c r="D10" s="7">
        <v>43427</v>
      </c>
      <c r="E10" s="11" t="s">
        <v>1256</v>
      </c>
      <c r="F10" s="6">
        <v>25</v>
      </c>
      <c r="G10" s="37" t="s">
        <v>1210</v>
      </c>
      <c r="H10" s="11" t="s">
        <v>160</v>
      </c>
      <c r="I10" s="6">
        <v>2992.8</v>
      </c>
      <c r="J10" s="28" t="s">
        <v>1212</v>
      </c>
      <c r="K10" s="60" t="s">
        <v>1213</v>
      </c>
      <c r="L10" s="6">
        <v>1740</v>
      </c>
      <c r="M10" s="20" t="s">
        <v>1214</v>
      </c>
      <c r="N10" s="24" t="s">
        <v>163</v>
      </c>
      <c r="O10" s="22">
        <v>58</v>
      </c>
      <c r="P10" s="22" t="s">
        <v>1292</v>
      </c>
      <c r="Q10" s="22">
        <f>O10*0.6</f>
        <v>34.799999999999997</v>
      </c>
      <c r="R10" s="23" t="s">
        <v>12</v>
      </c>
    </row>
    <row r="11" spans="1:18" x14ac:dyDescent="0.25">
      <c r="A11" s="7">
        <v>43419</v>
      </c>
      <c r="B11" s="8" t="s">
        <v>1233</v>
      </c>
      <c r="C11" s="9">
        <v>2437</v>
      </c>
      <c r="D11" s="7">
        <v>43430</v>
      </c>
      <c r="E11" s="11" t="s">
        <v>1257</v>
      </c>
      <c r="F11" s="6">
        <v>28045.37</v>
      </c>
      <c r="G11" s="37">
        <v>43434</v>
      </c>
      <c r="H11" s="11" t="s">
        <v>1261</v>
      </c>
      <c r="I11" s="6">
        <v>8921.1</v>
      </c>
      <c r="J11" s="28" t="s">
        <v>1212</v>
      </c>
      <c r="K11" s="13" t="s">
        <v>9</v>
      </c>
      <c r="L11" s="6">
        <v>589</v>
      </c>
      <c r="M11" s="20" t="s">
        <v>1211</v>
      </c>
      <c r="N11" s="23" t="s">
        <v>59</v>
      </c>
      <c r="O11" s="22">
        <v>6666</v>
      </c>
      <c r="P11" s="22" t="s">
        <v>1291</v>
      </c>
      <c r="Q11" s="22"/>
      <c r="R11" s="23" t="s">
        <v>1279</v>
      </c>
    </row>
    <row r="12" spans="1:18" x14ac:dyDescent="0.25">
      <c r="A12" s="7">
        <v>43420</v>
      </c>
      <c r="B12" s="8" t="s">
        <v>1234</v>
      </c>
      <c r="C12" s="9">
        <v>100</v>
      </c>
      <c r="D12" s="7">
        <v>43430</v>
      </c>
      <c r="E12" s="11" t="s">
        <v>1258</v>
      </c>
      <c r="F12" s="6">
        <v>1446.5</v>
      </c>
      <c r="G12" s="1"/>
      <c r="H12" s="14" t="s">
        <v>1132</v>
      </c>
      <c r="I12" s="15">
        <f>SUM(I2:I11)</f>
        <v>57299.65</v>
      </c>
      <c r="J12" s="28" t="s">
        <v>1215</v>
      </c>
      <c r="K12" s="13" t="s">
        <v>14</v>
      </c>
      <c r="L12" s="6">
        <v>450.09</v>
      </c>
      <c r="M12" s="20" t="s">
        <v>1211</v>
      </c>
      <c r="N12" s="21" t="s">
        <v>17</v>
      </c>
      <c r="O12" s="22">
        <v>40684.47</v>
      </c>
      <c r="P12" s="22" t="s">
        <v>1293</v>
      </c>
      <c r="Q12" s="22">
        <f>O12*0.5</f>
        <v>20342.235000000001</v>
      </c>
      <c r="R12" s="23" t="s">
        <v>1280</v>
      </c>
    </row>
    <row r="13" spans="1:18" x14ac:dyDescent="0.25">
      <c r="A13" s="7">
        <v>43423</v>
      </c>
      <c r="B13" s="8" t="s">
        <v>1235</v>
      </c>
      <c r="C13" s="9">
        <v>15710.305</v>
      </c>
      <c r="D13" s="7" t="s">
        <v>1216</v>
      </c>
      <c r="E13" s="11" t="s">
        <v>1217</v>
      </c>
      <c r="F13" s="6">
        <v>23443</v>
      </c>
      <c r="G13" s="2"/>
      <c r="H13" s="2"/>
      <c r="I13" s="2"/>
      <c r="J13" s="28" t="s">
        <v>1218</v>
      </c>
      <c r="K13" s="13" t="s">
        <v>14</v>
      </c>
      <c r="L13" s="6">
        <v>17000</v>
      </c>
      <c r="M13" s="20" t="s">
        <v>1219</v>
      </c>
      <c r="N13" s="21" t="s">
        <v>8</v>
      </c>
      <c r="O13" s="22">
        <v>4000</v>
      </c>
      <c r="P13" s="22" t="s">
        <v>1291</v>
      </c>
      <c r="Q13" s="22"/>
      <c r="R13" s="23" t="s">
        <v>28</v>
      </c>
    </row>
    <row r="14" spans="1:18" x14ac:dyDescent="0.25">
      <c r="A14" s="7">
        <v>43423</v>
      </c>
      <c r="B14" s="8" t="s">
        <v>1236</v>
      </c>
      <c r="C14" s="9">
        <v>1382</v>
      </c>
      <c r="D14" s="7" t="s">
        <v>1208</v>
      </c>
      <c r="E14" s="11" t="s">
        <v>61</v>
      </c>
      <c r="F14" s="6">
        <v>3700.4</v>
      </c>
      <c r="G14" s="36"/>
      <c r="H14" s="36"/>
      <c r="I14" s="36"/>
      <c r="J14" s="28">
        <v>43430</v>
      </c>
      <c r="K14" s="13" t="s">
        <v>1273</v>
      </c>
      <c r="L14" s="6">
        <v>858</v>
      </c>
      <c r="M14" s="20" t="s">
        <v>1212</v>
      </c>
      <c r="N14" s="23" t="s">
        <v>378</v>
      </c>
      <c r="O14" s="22">
        <v>5600</v>
      </c>
      <c r="P14" s="22" t="s">
        <v>1291</v>
      </c>
      <c r="Q14" s="22"/>
      <c r="R14" s="23" t="s">
        <v>1281</v>
      </c>
    </row>
    <row r="15" spans="1:18" x14ac:dyDescent="0.25">
      <c r="A15" s="7">
        <v>43423</v>
      </c>
      <c r="B15" s="8" t="s">
        <v>1237</v>
      </c>
      <c r="C15" s="9">
        <v>1000</v>
      </c>
      <c r="D15" s="7">
        <v>43412</v>
      </c>
      <c r="E15" s="2" t="s">
        <v>1220</v>
      </c>
      <c r="F15" s="6">
        <v>930</v>
      </c>
      <c r="G15" s="2"/>
      <c r="H15" s="2"/>
      <c r="I15" s="2"/>
      <c r="J15" s="28">
        <v>43434</v>
      </c>
      <c r="K15" s="13" t="s">
        <v>1261</v>
      </c>
      <c r="L15" s="6">
        <v>2432.98</v>
      </c>
      <c r="M15" s="20" t="s">
        <v>1212</v>
      </c>
      <c r="N15" s="23" t="s">
        <v>18</v>
      </c>
      <c r="O15" s="22">
        <v>28368</v>
      </c>
      <c r="P15" s="22" t="s">
        <v>1293</v>
      </c>
      <c r="Q15" s="22">
        <f>O15*0.5</f>
        <v>14184</v>
      </c>
      <c r="R15" s="23" t="s">
        <v>1282</v>
      </c>
    </row>
    <row r="16" spans="1:18" x14ac:dyDescent="0.25">
      <c r="A16" s="7">
        <v>43423</v>
      </c>
      <c r="B16" s="8" t="s">
        <v>1238</v>
      </c>
      <c r="C16" s="9">
        <v>1071.5</v>
      </c>
      <c r="D16" s="7" t="s">
        <v>1208</v>
      </c>
      <c r="E16" s="11" t="s">
        <v>9</v>
      </c>
      <c r="F16" s="6">
        <v>2220</v>
      </c>
      <c r="G16" s="2"/>
      <c r="H16" s="2"/>
      <c r="I16" s="2"/>
      <c r="J16" s="1"/>
      <c r="K16" s="14" t="s">
        <v>1132</v>
      </c>
      <c r="L16" s="15">
        <f>SUM(L2:L15)</f>
        <v>134067.28</v>
      </c>
      <c r="M16" s="20" t="s">
        <v>1212</v>
      </c>
      <c r="N16" s="23" t="s">
        <v>465</v>
      </c>
      <c r="O16" s="22">
        <v>2610</v>
      </c>
      <c r="P16" s="22" t="s">
        <v>1291</v>
      </c>
      <c r="Q16" s="22"/>
      <c r="R16" s="23" t="s">
        <v>1283</v>
      </c>
    </row>
    <row r="17" spans="1:18" x14ac:dyDescent="0.25">
      <c r="A17" s="7">
        <v>43423</v>
      </c>
      <c r="B17" s="8" t="s">
        <v>1239</v>
      </c>
      <c r="C17" s="9">
        <v>1214.31</v>
      </c>
      <c r="D17" s="7" t="s">
        <v>1212</v>
      </c>
      <c r="E17" s="11" t="s">
        <v>61</v>
      </c>
      <c r="F17" s="6">
        <v>3700.4</v>
      </c>
      <c r="G17" s="2"/>
      <c r="H17" s="2"/>
      <c r="I17" s="2"/>
      <c r="J17" s="2"/>
      <c r="K17" s="2"/>
      <c r="L17" s="2"/>
      <c r="M17" s="20" t="s">
        <v>1221</v>
      </c>
      <c r="N17" s="23" t="s">
        <v>8</v>
      </c>
      <c r="O17" s="22">
        <v>4000</v>
      </c>
      <c r="P17" s="22" t="s">
        <v>1291</v>
      </c>
      <c r="Q17" s="22"/>
      <c r="R17" s="23" t="s">
        <v>96</v>
      </c>
    </row>
    <row r="18" spans="1:18" x14ac:dyDescent="0.25">
      <c r="A18" s="7">
        <v>43427</v>
      </c>
      <c r="B18" s="8" t="s">
        <v>1240</v>
      </c>
      <c r="C18" s="9">
        <v>200</v>
      </c>
      <c r="D18" s="7" t="s">
        <v>1222</v>
      </c>
      <c r="E18" s="11" t="s">
        <v>61</v>
      </c>
      <c r="F18" s="6">
        <v>7400.8</v>
      </c>
      <c r="G18" s="2"/>
      <c r="H18" s="2"/>
      <c r="I18" s="2"/>
      <c r="J18" s="2"/>
      <c r="K18" s="2"/>
      <c r="L18" s="2"/>
      <c r="M18" s="20" t="s">
        <v>1222</v>
      </c>
      <c r="N18" s="23" t="s">
        <v>160</v>
      </c>
      <c r="O18" s="22">
        <v>10000</v>
      </c>
      <c r="P18" s="22" t="s">
        <v>1291</v>
      </c>
      <c r="Q18" s="22"/>
      <c r="R18" s="23" t="s">
        <v>1284</v>
      </c>
    </row>
    <row r="19" spans="1:18" x14ac:dyDescent="0.25">
      <c r="A19" s="7">
        <v>43427</v>
      </c>
      <c r="B19" s="8" t="s">
        <v>1241</v>
      </c>
      <c r="C19" s="9">
        <v>100</v>
      </c>
      <c r="D19" s="7">
        <v>43434</v>
      </c>
      <c r="E19" s="11" t="s">
        <v>1259</v>
      </c>
      <c r="F19" s="6">
        <v>10000</v>
      </c>
      <c r="G19" s="2"/>
      <c r="H19" s="2"/>
      <c r="I19" s="2"/>
      <c r="J19" s="2"/>
      <c r="K19" s="2"/>
      <c r="L19" s="2"/>
      <c r="M19" s="20" t="s">
        <v>1222</v>
      </c>
      <c r="N19" s="23" t="s">
        <v>10</v>
      </c>
      <c r="O19" s="22">
        <v>2204</v>
      </c>
      <c r="P19" s="22" t="s">
        <v>1293</v>
      </c>
      <c r="Q19" s="22">
        <f>O19*0.5</f>
        <v>1102</v>
      </c>
      <c r="R19" s="23" t="s">
        <v>1285</v>
      </c>
    </row>
    <row r="20" spans="1:18" x14ac:dyDescent="0.25">
      <c r="A20" s="7">
        <v>43430</v>
      </c>
      <c r="B20" s="8" t="s">
        <v>1242</v>
      </c>
      <c r="C20" s="9">
        <v>17395.169999999998</v>
      </c>
      <c r="D20" s="7">
        <v>43425</v>
      </c>
      <c r="E20" s="47" t="s">
        <v>1260</v>
      </c>
      <c r="F20" s="6">
        <v>1950</v>
      </c>
      <c r="G20" s="2"/>
      <c r="H20" s="2"/>
      <c r="I20" s="2"/>
      <c r="J20" s="2"/>
      <c r="K20" s="2"/>
      <c r="L20" s="2"/>
      <c r="M20" s="20" t="s">
        <v>1222</v>
      </c>
      <c r="N20" s="23" t="s">
        <v>23</v>
      </c>
      <c r="O20" s="22">
        <v>2320</v>
      </c>
      <c r="P20" s="22" t="s">
        <v>1292</v>
      </c>
      <c r="Q20" s="22">
        <f>O20*0.6</f>
        <v>1392</v>
      </c>
      <c r="R20" s="23" t="s">
        <v>1286</v>
      </c>
    </row>
    <row r="21" spans="1:18" x14ac:dyDescent="0.25">
      <c r="A21" s="7">
        <v>43430</v>
      </c>
      <c r="B21" s="8" t="s">
        <v>1243</v>
      </c>
      <c r="C21" s="9">
        <v>1482</v>
      </c>
      <c r="D21" s="28">
        <v>43434</v>
      </c>
      <c r="E21" s="13" t="s">
        <v>1261</v>
      </c>
      <c r="F21" s="6">
        <v>11025.4</v>
      </c>
      <c r="G21" s="2"/>
      <c r="H21" s="2"/>
      <c r="I21" s="2"/>
      <c r="J21" s="2"/>
      <c r="K21" s="2"/>
      <c r="L21" s="2"/>
      <c r="M21" s="63" t="s">
        <v>1222</v>
      </c>
      <c r="N21" s="64" t="s">
        <v>388</v>
      </c>
      <c r="O21" s="58">
        <v>4349.68</v>
      </c>
      <c r="P21" s="58" t="s">
        <v>1291</v>
      </c>
      <c r="Q21" s="58"/>
      <c r="R21" s="23" t="s">
        <v>1287</v>
      </c>
    </row>
    <row r="22" spans="1:18" x14ac:dyDescent="0.25">
      <c r="A22" s="7">
        <v>43430</v>
      </c>
      <c r="B22" s="8" t="s">
        <v>1244</v>
      </c>
      <c r="C22" s="9">
        <v>1100</v>
      </c>
      <c r="D22" s="1"/>
      <c r="E22" s="14" t="s">
        <v>1132</v>
      </c>
      <c r="F22" s="15">
        <f>SUM(F2:F21)</f>
        <v>174795.70399999997</v>
      </c>
      <c r="G22" s="2"/>
      <c r="H22" s="2"/>
      <c r="I22" s="2"/>
      <c r="J22" s="2"/>
      <c r="K22" s="2"/>
      <c r="L22" s="2"/>
      <c r="M22" s="20" t="s">
        <v>1222</v>
      </c>
      <c r="N22" s="23" t="s">
        <v>466</v>
      </c>
      <c r="O22" s="22">
        <v>4408</v>
      </c>
      <c r="P22" s="22" t="s">
        <v>1293</v>
      </c>
      <c r="Q22" s="22">
        <f>O22*0.5</f>
        <v>2204</v>
      </c>
      <c r="R22" s="23" t="s">
        <v>1288</v>
      </c>
    </row>
    <row r="23" spans="1:18" x14ac:dyDescent="0.25">
      <c r="A23" s="7">
        <v>43434</v>
      </c>
      <c r="B23" s="11" t="s">
        <v>1245</v>
      </c>
      <c r="C23" s="6">
        <v>1000</v>
      </c>
      <c r="D23" s="36"/>
      <c r="E23" s="2"/>
      <c r="F23" s="2"/>
      <c r="G23" s="2"/>
      <c r="H23" s="2"/>
      <c r="I23" s="2"/>
      <c r="J23" s="2"/>
      <c r="K23" s="2"/>
      <c r="L23" s="2"/>
      <c r="M23" s="20" t="s">
        <v>1222</v>
      </c>
      <c r="N23" s="23" t="s">
        <v>122</v>
      </c>
      <c r="O23" s="22">
        <v>458.52</v>
      </c>
      <c r="P23" s="22" t="s">
        <v>1292</v>
      </c>
      <c r="Q23" s="22">
        <f>O23*0.6</f>
        <v>275.11199999999997</v>
      </c>
      <c r="R23" s="23" t="s">
        <v>1289</v>
      </c>
    </row>
    <row r="24" spans="1:18" x14ac:dyDescent="0.25">
      <c r="A24" s="7">
        <v>43434</v>
      </c>
      <c r="B24" s="11" t="s">
        <v>1246</v>
      </c>
      <c r="C24" s="6">
        <v>200</v>
      </c>
      <c r="D24" s="36"/>
      <c r="E24" s="2"/>
      <c r="F24" s="2"/>
      <c r="G24" s="2"/>
      <c r="H24" s="2"/>
      <c r="I24" s="2"/>
      <c r="J24" s="2"/>
      <c r="K24" s="2"/>
      <c r="L24" s="2"/>
      <c r="M24" s="20" t="s">
        <v>1223</v>
      </c>
      <c r="N24" s="23" t="s">
        <v>22</v>
      </c>
      <c r="O24" s="22">
        <v>2320</v>
      </c>
      <c r="P24" s="22" t="s">
        <v>1291</v>
      </c>
      <c r="Q24" s="22"/>
      <c r="R24" s="23" t="s">
        <v>1290</v>
      </c>
    </row>
    <row r="25" spans="1:18" x14ac:dyDescent="0.25">
      <c r="A25" s="7">
        <v>43409</v>
      </c>
      <c r="B25" s="11" t="s">
        <v>1247</v>
      </c>
      <c r="C25" s="6">
        <v>7000</v>
      </c>
      <c r="D25" s="36"/>
      <c r="E25" s="2"/>
      <c r="F25" s="2"/>
      <c r="G25" s="2"/>
      <c r="H25" s="2"/>
      <c r="I25" s="2"/>
      <c r="J25" s="2"/>
      <c r="K25" s="2"/>
      <c r="L25" s="2"/>
      <c r="M25" s="1"/>
      <c r="N25" s="25" t="s">
        <v>1158</v>
      </c>
      <c r="O25" s="26">
        <f>SUM(O2:O24)</f>
        <v>180561.66999999998</v>
      </c>
      <c r="P25" s="62"/>
      <c r="Q25" s="62"/>
    </row>
    <row r="26" spans="1:18" x14ac:dyDescent="0.25">
      <c r="A26" s="7">
        <v>43416</v>
      </c>
      <c r="B26" s="11" t="s">
        <v>1248</v>
      </c>
      <c r="C26" s="6">
        <v>7000</v>
      </c>
      <c r="D26" s="36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8" x14ac:dyDescent="0.25">
      <c r="A27" s="1"/>
      <c r="B27" s="14" t="s">
        <v>1132</v>
      </c>
      <c r="C27" s="15">
        <f>SUM(C2:C26)</f>
        <v>86405.824999999997</v>
      </c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"/>
  <sheetViews>
    <sheetView zoomScale="85" zoomScaleNormal="85" workbookViewId="0">
      <selection activeCell="D26" sqref="D26"/>
    </sheetView>
  </sheetViews>
  <sheetFormatPr baseColWidth="10" defaultRowHeight="15" x14ac:dyDescent="0.25"/>
  <cols>
    <col min="7" max="7" width="11.42578125" style="65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3" workbookViewId="0">
      <selection activeCell="C27" sqref="C27"/>
    </sheetView>
  </sheetViews>
  <sheetFormatPr baseColWidth="10" defaultRowHeight="15" x14ac:dyDescent="0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ENERO 18</vt:lpstr>
      <vt:lpstr>FEBRERO 18 </vt:lpstr>
      <vt:lpstr>MARZO 18</vt:lpstr>
      <vt:lpstr>ABRIL 18</vt:lpstr>
      <vt:lpstr>MAYO 18</vt:lpstr>
      <vt:lpstr>JUNIO 18</vt:lpstr>
      <vt:lpstr>JULIO 18 </vt:lpstr>
      <vt:lpstr>AGOSTO 18 </vt:lpstr>
      <vt:lpstr>SEPTIEMBRE 18</vt:lpstr>
      <vt:lpstr>OCTUBRE 18</vt:lpstr>
      <vt:lpstr>NOVIEMBRE 18</vt:lpstr>
      <vt:lpstr>Hoja1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admin</cp:lastModifiedBy>
  <cp:lastPrinted>2018-12-11T19:31:38Z</cp:lastPrinted>
  <dcterms:created xsi:type="dcterms:W3CDTF">2018-02-21T19:06:35Z</dcterms:created>
  <dcterms:modified xsi:type="dcterms:W3CDTF">2018-12-12T18:11:15Z</dcterms:modified>
</cp:coreProperties>
</file>